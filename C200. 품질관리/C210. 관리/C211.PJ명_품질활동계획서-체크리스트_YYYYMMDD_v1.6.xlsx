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2"/>
  <workbookPr codeName="ThisWorkbook"/>
  <mc:AlternateContent xmlns:mc="http://schemas.openxmlformats.org/markup-compatibility/2006">
    <mc:Choice Requires="x15">
      <x15ac:absPath xmlns:x15ac="http://schemas.microsoft.com/office/spreadsheetml/2010/11/ac" url="C:\Doc_\산출물_최신\산출물 템플릿\C200. 품질관리\"/>
    </mc:Choice>
  </mc:AlternateContent>
  <xr:revisionPtr revIDLastSave="0" documentId="13_ncr:1_{C998F51F-6415-4C34-9244-6DFE02DB783A}" xr6:coauthVersionLast="36" xr6:coauthVersionMax="36" xr10:uidLastSave="{00000000-0000-0000-0000-000000000000}"/>
  <bookViews>
    <workbookView xWindow="0" yWindow="0" windowWidth="28800" windowHeight="12180" tabRatio="717" activeTab="3" xr2:uid="{00000000-000D-0000-FFFF-FFFF00000000}"/>
  </bookViews>
  <sheets>
    <sheet name="표지" sheetId="7" r:id="rId1"/>
    <sheet name="개정이력" sheetId="8" r:id="rId2"/>
    <sheet name="품질활동계획" sheetId="15" r:id="rId3"/>
    <sheet name="점검결과 집계" sheetId="9" r:id="rId4"/>
    <sheet name="사업관리 체크리스트" sheetId="16" r:id="rId5"/>
    <sheet name="개발관리 체크리스트" sheetId="17" r:id="rId6"/>
    <sheet name="작성방법" sheetId="10" r:id="rId7"/>
  </sheets>
  <definedNames>
    <definedName name="_xlnm._FilterDatabase" localSheetId="5" hidden="1">'개발관리 체크리스트'!$A$2:$I$64</definedName>
    <definedName name="_xlnm._FilterDatabase" localSheetId="4" hidden="1">'사업관리 체크리스트'!$A$2:$I$35</definedName>
  </definedNames>
  <calcPr calcId="191029"/>
</workbook>
</file>

<file path=xl/calcChain.xml><?xml version="1.0" encoding="utf-8"?>
<calcChain xmlns="http://schemas.openxmlformats.org/spreadsheetml/2006/main">
  <c r="H14" i="9" l="1"/>
  <c r="H13" i="9"/>
  <c r="H12" i="9"/>
  <c r="H11" i="9"/>
  <c r="H6" i="9"/>
  <c r="H5" i="9" l="1"/>
  <c r="G14" i="9" l="1"/>
  <c r="F14" i="9"/>
  <c r="E14" i="9"/>
  <c r="G13" i="9"/>
  <c r="F13" i="9"/>
  <c r="E13" i="9"/>
  <c r="G12" i="9"/>
  <c r="F12" i="9"/>
  <c r="E12" i="9"/>
  <c r="G11" i="9"/>
  <c r="F11" i="9"/>
  <c r="E11" i="9"/>
  <c r="G6" i="9"/>
  <c r="F6" i="9"/>
  <c r="E6" i="9"/>
  <c r="G5" i="9"/>
  <c r="F5" i="9"/>
  <c r="E5" i="9" l="1"/>
  <c r="A64" i="17" l="1"/>
  <c r="A63" i="17"/>
  <c r="A62" i="17"/>
  <c r="A61" i="17"/>
  <c r="A60" i="17"/>
  <c r="A59" i="17"/>
  <c r="A58" i="17"/>
  <c r="A57" i="17"/>
  <c r="A56" i="17"/>
  <c r="A55" i="17"/>
  <c r="A54" i="17"/>
  <c r="A53" i="17"/>
  <c r="A52" i="17"/>
  <c r="A51" i="17"/>
  <c r="A50" i="17"/>
  <c r="A49" i="17"/>
  <c r="A48" i="17"/>
  <c r="A47" i="17"/>
  <c r="A46" i="17"/>
  <c r="A45" i="17"/>
  <c r="A44" i="17"/>
  <c r="A43" i="17"/>
  <c r="A42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A7" i="17"/>
  <c r="A6" i="17"/>
  <c r="A5" i="17"/>
  <c r="A4" i="17"/>
  <c r="A3" i="17"/>
  <c r="C12" i="9" l="1"/>
  <c r="C13" i="9"/>
  <c r="C11" i="9"/>
  <c r="C14" i="9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A3" i="16"/>
  <c r="C6" i="9" l="1"/>
  <c r="D6" i="9" s="1"/>
  <c r="C5" i="9"/>
  <c r="D5" i="9" s="1"/>
  <c r="H7" i="9" l="1"/>
  <c r="F7" i="9"/>
  <c r="G7" i="9"/>
  <c r="I6" i="9"/>
  <c r="E7" i="9"/>
  <c r="I5" i="9" l="1"/>
  <c r="D14" i="9"/>
  <c r="D7" i="9" l="1"/>
  <c r="I7" i="9" s="1"/>
  <c r="C7" i="9"/>
  <c r="D13" i="9"/>
  <c r="I13" i="9" s="1"/>
  <c r="D11" i="9"/>
  <c r="I11" i="9" s="1"/>
  <c r="D12" i="9"/>
  <c r="I12" i="9" s="1"/>
  <c r="G15" i="9"/>
  <c r="E15" i="9"/>
  <c r="H15" i="9"/>
  <c r="F15" i="9"/>
  <c r="I14" i="9"/>
  <c r="C15" i="9" l="1"/>
  <c r="D15" i="9"/>
  <c r="I15" i="9" s="1"/>
</calcChain>
</file>

<file path=xl/sharedStrings.xml><?xml version="1.0" encoding="utf-8"?>
<sst xmlns="http://schemas.openxmlformats.org/spreadsheetml/2006/main" count="517" uniqueCount="296">
  <si>
    <t>단위테스트 설계</t>
    <phoneticPr fontId="11" type="noConversion"/>
  </si>
  <si>
    <t>통합테스트 수행중 발견된 모든 결함에 대하여 결함및시정조치목록를 작성하였는가?</t>
    <phoneticPr fontId="11" type="noConversion"/>
  </si>
  <si>
    <t>릴리이즈및비상계획수립</t>
    <phoneticPr fontId="11" type="noConversion"/>
  </si>
  <si>
    <t>평가의견</t>
    <phoneticPr fontId="11" type="noConversion"/>
  </si>
  <si>
    <t>단계완료</t>
    <phoneticPr fontId="11" type="noConversion"/>
  </si>
  <si>
    <t>운영매뉴얼</t>
    <phoneticPr fontId="11" type="noConversion"/>
  </si>
  <si>
    <t>버전</t>
    <phoneticPr fontId="11" type="noConversion"/>
  </si>
  <si>
    <t>작성일</t>
    <phoneticPr fontId="11" type="noConversion"/>
  </si>
  <si>
    <t>작성자</t>
    <phoneticPr fontId="11" type="noConversion"/>
  </si>
  <si>
    <t>승인자</t>
    <phoneticPr fontId="11" type="noConversion"/>
  </si>
  <si>
    <t>시행일</t>
    <phoneticPr fontId="11" type="noConversion"/>
  </si>
  <si>
    <t>최초 작성</t>
    <phoneticPr fontId="11" type="noConversion"/>
  </si>
  <si>
    <t>UI설계</t>
    <phoneticPr fontId="11" type="noConversion"/>
  </si>
  <si>
    <t>데이터베이스 설계</t>
    <phoneticPr fontId="11" type="noConversion"/>
  </si>
  <si>
    <t>테스트 계획 수립</t>
    <phoneticPr fontId="11" type="noConversion"/>
  </si>
  <si>
    <t>통합테스트 설계</t>
    <phoneticPr fontId="11" type="noConversion"/>
  </si>
  <si>
    <t>상세 체크항목</t>
    <phoneticPr fontId="11" type="noConversion"/>
  </si>
  <si>
    <t>체크 항목</t>
    <phoneticPr fontId="11" type="noConversion"/>
  </si>
  <si>
    <t>세그먼트</t>
    <phoneticPr fontId="11" type="noConversion"/>
  </si>
  <si>
    <t>No</t>
    <phoneticPr fontId="11" type="noConversion"/>
  </si>
  <si>
    <t>단계</t>
    <phoneticPr fontId="11" type="noConversion"/>
  </si>
  <si>
    <t>승인사항</t>
    <phoneticPr fontId="11" type="noConversion"/>
  </si>
  <si>
    <t>일자</t>
    <phoneticPr fontId="11" type="noConversion"/>
  </si>
  <si>
    <t>서명</t>
    <phoneticPr fontId="11" type="noConversion"/>
  </si>
  <si>
    <t>작성자</t>
    <phoneticPr fontId="11" type="noConversion"/>
  </si>
  <si>
    <t>승인자</t>
    <phoneticPr fontId="11" type="noConversion"/>
  </si>
  <si>
    <t>적합</t>
    <phoneticPr fontId="11" type="noConversion"/>
  </si>
  <si>
    <t>점검 결과</t>
    <phoneticPr fontId="11" type="noConversion"/>
  </si>
  <si>
    <t>태스크</t>
    <phoneticPr fontId="11" type="noConversion"/>
  </si>
  <si>
    <t>요구사항 정의</t>
    <phoneticPr fontId="11" type="noConversion"/>
  </si>
  <si>
    <t>품질활동 체크리스트</t>
    <phoneticPr fontId="11" type="noConversion"/>
  </si>
  <si>
    <t>성명 / 직급</t>
    <phoneticPr fontId="11" type="noConversion"/>
  </si>
  <si>
    <t>문 서 이 력</t>
    <phoneticPr fontId="11" type="noConversion"/>
  </si>
  <si>
    <t>제/개정 내용</t>
    <phoneticPr fontId="11" type="noConversion"/>
  </si>
  <si>
    <t>검토자</t>
    <phoneticPr fontId="11" type="noConversion"/>
  </si>
  <si>
    <t>인터페이스 정의서</t>
    <phoneticPr fontId="11" type="noConversion"/>
  </si>
  <si>
    <t>구분</t>
  </si>
  <si>
    <t>점검결과 집계</t>
    <phoneticPr fontId="42" type="noConversion"/>
  </si>
  <si>
    <t>분석단계</t>
    <phoneticPr fontId="42" type="noConversion"/>
  </si>
  <si>
    <t>설계단계</t>
    <phoneticPr fontId="42" type="noConversion"/>
  </si>
  <si>
    <t>이행준비</t>
    <phoneticPr fontId="11" type="noConversion"/>
  </si>
  <si>
    <t>요구사항 추적</t>
    <phoneticPr fontId="11" type="noConversion"/>
  </si>
  <si>
    <t>타시스템 I/F와 관련된 항목의 일정이 수립되었는가?</t>
    <phoneticPr fontId="11" type="noConversion"/>
  </si>
  <si>
    <t>화면정의서</t>
    <phoneticPr fontId="11" type="noConversion"/>
  </si>
  <si>
    <t>메뉴/화면 설계</t>
    <phoneticPr fontId="11" type="noConversion"/>
  </si>
  <si>
    <t>수행계획서</t>
    <phoneticPr fontId="11" type="noConversion"/>
  </si>
  <si>
    <t>WBS</t>
    <phoneticPr fontId="11" type="noConversion"/>
  </si>
  <si>
    <t>수행계획</t>
    <phoneticPr fontId="11" type="noConversion"/>
  </si>
  <si>
    <t>작성방법</t>
    <phoneticPr fontId="42" type="noConversion"/>
  </si>
  <si>
    <r>
      <t xml:space="preserve"> </t>
    </r>
    <r>
      <rPr>
        <sz val="11"/>
        <color theme="1"/>
        <rFont val="맑은 고딕"/>
        <family val="2"/>
        <charset val="129"/>
        <scheme val="minor"/>
      </rPr>
      <t xml:space="preserve">  - 적합이 아닌 항목에 대해서는 "결함및시정조치목록"에 기록한다.</t>
    </r>
    <phoneticPr fontId="11" type="noConversion"/>
  </si>
  <si>
    <t>필수</t>
  </si>
  <si>
    <t>Primary Key, 칼럼의 형태, 길이, NULL 여부가 표현되도록 작성하였는가?</t>
    <phoneticPr fontId="11" type="noConversion"/>
  </si>
  <si>
    <t>오류가 발생한 항목에 대해 결함유형 및 결함에 대한 조치결과 및 완료 일자가 기재되었는가?</t>
    <phoneticPr fontId="11" type="noConversion"/>
  </si>
  <si>
    <t>교육을 실시할 일정, 교육대상자, 교육내용, 교육담당자를 정의하였는가?</t>
    <phoneticPr fontId="11" type="noConversion"/>
  </si>
  <si>
    <t>테스트 계획서</t>
    <phoneticPr fontId="11" type="noConversion"/>
  </si>
  <si>
    <t>단위테스트 케이스</t>
    <phoneticPr fontId="11" type="noConversion"/>
  </si>
  <si>
    <t>단위테스트 실시</t>
    <phoneticPr fontId="11" type="noConversion"/>
  </si>
  <si>
    <t>운영매뉴얼 작성시 누락된 항목은 없는가?</t>
    <phoneticPr fontId="11" type="noConversion"/>
  </si>
  <si>
    <t>교육훈련계획</t>
    <phoneticPr fontId="11" type="noConversion"/>
  </si>
  <si>
    <t>필수여부</t>
    <phoneticPr fontId="11" type="noConversion"/>
  </si>
  <si>
    <t>준비/계획</t>
    <phoneticPr fontId="11" type="noConversion"/>
  </si>
  <si>
    <t>프로젝트 수행계획서 작성은 되었는가?
(고객사에 착수보고 제출시에는 제출용 수행계획서로 대체 가능)</t>
    <phoneticPr fontId="11" type="noConversion"/>
  </si>
  <si>
    <t>자원계획은 명확히 표시되어 있는가?(인력투입계획 필수)
  -. 자원 : 인력, Software, HW</t>
    <phoneticPr fontId="11" type="noConversion"/>
  </si>
  <si>
    <t>프로젝트 수행 일정이 정의되어 있는가?(주요 Milestone 수준 명시)</t>
    <phoneticPr fontId="11" type="noConversion"/>
  </si>
  <si>
    <t>계획</t>
    <phoneticPr fontId="11" type="noConversion"/>
  </si>
  <si>
    <t>범위/일정 관리</t>
    <phoneticPr fontId="11" type="noConversion"/>
  </si>
  <si>
    <t>수행 계획서의 범위가 모두 WBS에 정의되어 있는가?</t>
    <phoneticPr fontId="11" type="noConversion"/>
  </si>
  <si>
    <t>모듈은 빠짐없이 등록되어있는가?</t>
    <phoneticPr fontId="11" type="noConversion"/>
  </si>
  <si>
    <t>Work Package의 각각의 '담당자' 는 명시되어 있는가?</t>
    <phoneticPr fontId="11" type="noConversion"/>
  </si>
  <si>
    <t>Work Package의 '산출물명' 은 명시되어 있는가?</t>
    <phoneticPr fontId="11" type="noConversion"/>
  </si>
  <si>
    <t>집행계획 일정은 수립되어 있는가?</t>
    <phoneticPr fontId="11" type="noConversion"/>
  </si>
  <si>
    <t>분석</t>
    <phoneticPr fontId="11" type="noConversion"/>
  </si>
  <si>
    <t>요구사항</t>
    <phoneticPr fontId="11" type="noConversion"/>
  </si>
  <si>
    <t>요구사항 ID가 명확히 기입되었는가?</t>
    <phoneticPr fontId="11" type="noConversion"/>
  </si>
  <si>
    <t>요구사항의 출처가 명확히 기입되어 있는가?</t>
    <phoneticPr fontId="11" type="noConversion"/>
  </si>
  <si>
    <t>요구사항에 대하여 기능, 비기능의 구분이 명확한가?</t>
    <phoneticPr fontId="11" type="noConversion"/>
  </si>
  <si>
    <t>비기능' 요구사항의 경우 구현 결과에 대하여 고객과 협의된 회의록등 확인할 수 있는 근거가 등록되어 있는가?
(ex:'웹페이지 성능개선의 경우 3초이내 화면이 로딩되어야 함' 과 같은 고객과의 협의된 사항 필요)</t>
    <phoneticPr fontId="11" type="noConversion"/>
  </si>
  <si>
    <t>설계</t>
    <phoneticPr fontId="11" type="noConversion"/>
  </si>
  <si>
    <t>메뉴구조도</t>
    <phoneticPr fontId="11" type="noConversion"/>
  </si>
  <si>
    <t>메뉴 구조도 작성이 되었는가?</t>
    <phoneticPr fontId="11" type="noConversion"/>
  </si>
  <si>
    <t>화면정의서 표준 템플릿을 사용하여 작성하였는가?</t>
    <phoneticPr fontId="11" type="noConversion"/>
  </si>
  <si>
    <t>화면 ID 가 정확히 기입되어 있는가?</t>
    <phoneticPr fontId="11" type="noConversion"/>
  </si>
  <si>
    <t>입력항목이 있는 경우 필수입력값이 명시되어 있는가?</t>
    <phoneticPr fontId="11" type="noConversion"/>
  </si>
  <si>
    <t>버튼 혹은 이미지등의 링크에 PoP UP 이벤트 존재시 해당 Popup 기능이 설계된 Page 번호 명시 되었는가?</t>
    <phoneticPr fontId="11" type="noConversion"/>
  </si>
  <si>
    <t>테이블 정의서</t>
    <phoneticPr fontId="11" type="noConversion"/>
  </si>
  <si>
    <t>매핑정의서</t>
    <phoneticPr fontId="11" type="noConversion"/>
  </si>
  <si>
    <t>매핑정의서는 정확하게 작성이 되었는가?</t>
    <phoneticPr fontId="11" type="noConversion"/>
  </si>
  <si>
    <t>테스트 계획서 작성은 되었는가?</t>
    <phoneticPr fontId="11" type="noConversion"/>
  </si>
  <si>
    <t>요구사항에 정의된 기능요구사항에 대하여 단위테스트 케이스가 작성이 되었는가?</t>
    <phoneticPr fontId="11" type="noConversion"/>
  </si>
  <si>
    <t>요구사항 추적표는 작성이 되었는가?</t>
    <phoneticPr fontId="11" type="noConversion"/>
  </si>
  <si>
    <t>기능 요구사항은 요구사항 ID와 화면ID 혹은 매뉴얼의 Page 가 정확히 추적되는가?</t>
    <phoneticPr fontId="11" type="noConversion"/>
  </si>
  <si>
    <t>구현/테스트</t>
    <phoneticPr fontId="11" type="noConversion"/>
  </si>
  <si>
    <t>테스트</t>
    <phoneticPr fontId="11" type="noConversion"/>
  </si>
  <si>
    <t>단위테스트 결과</t>
    <phoneticPr fontId="11" type="noConversion"/>
  </si>
  <si>
    <t>통합테스트 시나리오</t>
    <phoneticPr fontId="11" type="noConversion"/>
  </si>
  <si>
    <t>통합테스트 시나리오 작성은 되었는가?</t>
    <phoneticPr fontId="11" type="noConversion"/>
  </si>
  <si>
    <t>기능 요구사항에 대하여 통합테스트 시나리오가 작성되었는가?</t>
    <phoneticPr fontId="11" type="noConversion"/>
  </si>
  <si>
    <t>통합테스트 시나리오에 테스트 데이터 및 예상결과가 작성되어 있는가?</t>
    <phoneticPr fontId="11" type="noConversion"/>
  </si>
  <si>
    <t>통합테스트 케이스</t>
    <phoneticPr fontId="11" type="noConversion"/>
  </si>
  <si>
    <t>통합테스트시나리오 별 통합테스트 케이스 작성이 되었는가?
(통합테스트 시나리오와 케이스간 누락여부 파악)</t>
    <phoneticPr fontId="11" type="noConversion"/>
  </si>
  <si>
    <t>매뉴얼</t>
    <phoneticPr fontId="11" type="noConversion"/>
  </si>
  <si>
    <t>사용자 매뉴얼 작성</t>
    <phoneticPr fontId="11" type="noConversion"/>
  </si>
  <si>
    <t>사용자매뉴얼</t>
    <phoneticPr fontId="11" type="noConversion"/>
  </si>
  <si>
    <t>운영 매뉴얼 작성</t>
    <phoneticPr fontId="11" type="noConversion"/>
  </si>
  <si>
    <t>통합테스트 실시</t>
    <phoneticPr fontId="11" type="noConversion"/>
  </si>
  <si>
    <t>통합테스트케이스_로그</t>
    <phoneticPr fontId="11" type="noConversion"/>
  </si>
  <si>
    <t>통합테스트 수행결과를 예상결과와 비교하여 프로그램의 정상 수행여부를 기록하였는가?</t>
    <phoneticPr fontId="11" type="noConversion"/>
  </si>
  <si>
    <t>결함이 발생한 내용을 상세히 기재하였는가?</t>
    <phoneticPr fontId="11" type="noConversion"/>
  </si>
  <si>
    <t>발생한 결함에 대한 조치계획(담당자와 기한) 및 조치결과(조치자와 조치내용)를 기재하였는가?</t>
    <phoneticPr fontId="11" type="noConversion"/>
  </si>
  <si>
    <t>배포 및 이행</t>
    <phoneticPr fontId="11" type="noConversion"/>
  </si>
  <si>
    <t>이행계획서</t>
    <phoneticPr fontId="11" type="noConversion"/>
  </si>
  <si>
    <t>이행계획서 작성이 되었는가?</t>
    <phoneticPr fontId="11" type="noConversion"/>
  </si>
  <si>
    <t>소스 배포 절차는 계획되어져 있는가?</t>
    <phoneticPr fontId="11" type="noConversion"/>
  </si>
  <si>
    <t>운영 전환 일정이 수립되었는가?</t>
    <phoneticPr fontId="11" type="noConversion"/>
  </si>
  <si>
    <t>운영전환 조직 및 역할/책임이 명시되었는가?</t>
    <phoneticPr fontId="11" type="noConversion"/>
  </si>
  <si>
    <t>이행시나리오</t>
    <phoneticPr fontId="11" type="noConversion"/>
  </si>
  <si>
    <t>이행시나리오 작성이 되었는가?</t>
    <phoneticPr fontId="11" type="noConversion"/>
  </si>
  <si>
    <t>이행을 위한 절차가 시간순으로 적절히 계획되었는가?</t>
    <phoneticPr fontId="11" type="noConversion"/>
  </si>
  <si>
    <t>이행 Task 별 담당자가 정해졌는가?</t>
    <phoneticPr fontId="11" type="noConversion"/>
  </si>
  <si>
    <t>타시스템 I/F와 관련된 항목이 Task 로 계획되어져 있는가?</t>
    <phoneticPr fontId="11" type="noConversion"/>
  </si>
  <si>
    <t>데이터의 이관 항목이 Task 로 계획되어져 있는가?</t>
    <phoneticPr fontId="11" type="noConversion"/>
  </si>
  <si>
    <t>교육훈련 실시</t>
    <phoneticPr fontId="11" type="noConversion"/>
  </si>
  <si>
    <t>교육훈련 계획서 작성이 되었는가?</t>
    <phoneticPr fontId="11" type="noConversion"/>
  </si>
  <si>
    <t>교육에 사용될 교육교재, 교육기자재, 교육장소를 준비하였는가?</t>
    <phoneticPr fontId="11" type="noConversion"/>
  </si>
  <si>
    <t>어플리케이션 설계</t>
    <phoneticPr fontId="11" type="noConversion"/>
  </si>
  <si>
    <t>프로그램 목록은 작성 되었는가?</t>
    <phoneticPr fontId="11" type="noConversion"/>
  </si>
  <si>
    <t>프로그램 목록 ID가 기재되어 있는가?</t>
    <phoneticPr fontId="11" type="noConversion"/>
  </si>
  <si>
    <t>인터페이스 ID 가 명확히 기재되어 있는가?</t>
    <phoneticPr fontId="11" type="noConversion"/>
  </si>
  <si>
    <t>단계</t>
    <phoneticPr fontId="42" type="noConversion"/>
  </si>
  <si>
    <t>전체 항목수</t>
    <phoneticPr fontId="11" type="noConversion"/>
  </si>
  <si>
    <t>점검대상 항목수</t>
    <phoneticPr fontId="11" type="noConversion"/>
  </si>
  <si>
    <t>적합</t>
    <phoneticPr fontId="42" type="noConversion"/>
  </si>
  <si>
    <t>일부적합</t>
    <phoneticPr fontId="42" type="noConversion"/>
  </si>
  <si>
    <t>부적합</t>
    <phoneticPr fontId="42" type="noConversion"/>
  </si>
  <si>
    <t>N/A</t>
    <phoneticPr fontId="11" type="noConversion"/>
  </si>
  <si>
    <t>적합율</t>
    <phoneticPr fontId="42" type="noConversion"/>
  </si>
  <si>
    <t>개발관리</t>
    <phoneticPr fontId="42" type="noConversion"/>
  </si>
  <si>
    <t>구현/테스트단계</t>
    <phoneticPr fontId="42" type="noConversion"/>
  </si>
  <si>
    <t>배포/이행단계</t>
    <phoneticPr fontId="42" type="noConversion"/>
  </si>
  <si>
    <t>합계</t>
    <phoneticPr fontId="42" type="noConversion"/>
  </si>
  <si>
    <t>일부적합 가중치</t>
    <phoneticPr fontId="11" type="noConversion"/>
  </si>
  <si>
    <r>
      <t xml:space="preserve">  - </t>
    </r>
    <r>
      <rPr>
        <b/>
        <u/>
        <sz val="11"/>
        <color theme="1"/>
        <rFont val="맑은 고딕"/>
        <family val="3"/>
        <charset val="129"/>
        <scheme val="minor"/>
      </rPr>
      <t>필수여부</t>
    </r>
    <r>
      <rPr>
        <sz val="11"/>
        <color theme="1"/>
        <rFont val="맑은 고딕"/>
        <family val="2"/>
        <charset val="129"/>
        <scheme val="minor"/>
      </rPr>
      <t>가 "</t>
    </r>
    <r>
      <rPr>
        <b/>
        <u/>
        <sz val="11"/>
        <color theme="1"/>
        <rFont val="맑은 고딕"/>
        <family val="3"/>
        <charset val="129"/>
        <scheme val="minor"/>
      </rPr>
      <t>N/A</t>
    </r>
    <r>
      <rPr>
        <sz val="11"/>
        <color theme="1"/>
        <rFont val="맑은 고딕"/>
        <family val="2"/>
        <charset val="129"/>
        <scheme val="minor"/>
      </rPr>
      <t xml:space="preserve">" 일 경우 반드시 평가의견에 </t>
    </r>
    <r>
      <rPr>
        <b/>
        <u/>
        <sz val="11"/>
        <color theme="1"/>
        <rFont val="맑은 고딕"/>
        <family val="3"/>
        <charset val="129"/>
        <scheme val="minor"/>
      </rPr>
      <t>근거를 제시</t>
    </r>
    <r>
      <rPr>
        <sz val="11"/>
        <color theme="1"/>
        <rFont val="맑은 고딕"/>
        <family val="2"/>
        <charset val="129"/>
        <scheme val="minor"/>
      </rPr>
      <t>해야 한다.</t>
    </r>
    <phoneticPr fontId="11" type="noConversion"/>
  </si>
  <si>
    <r>
      <t xml:space="preserve">   -</t>
    </r>
    <r>
      <rPr>
        <sz val="11"/>
        <color theme="1"/>
        <rFont val="맑은 고딕"/>
        <family val="2"/>
        <charset val="129"/>
        <scheme val="minor"/>
      </rPr>
      <t xml:space="preserve"> 판정에서</t>
    </r>
    <r>
      <rPr>
        <sz val="11"/>
        <color theme="1"/>
        <rFont val="맑은 고딕"/>
        <family val="2"/>
        <charset val="129"/>
        <scheme val="minor"/>
      </rPr>
      <t xml:space="preserve"> 적합, 일부적합, 부적합 중 하나를</t>
    </r>
    <r>
      <rPr>
        <sz val="11"/>
        <color theme="1"/>
        <rFont val="맑은 고딕"/>
        <family val="2"/>
        <charset val="129"/>
        <scheme val="minor"/>
      </rPr>
      <t xml:space="preserve"> 선택</t>
    </r>
    <r>
      <rPr>
        <sz val="11"/>
        <color theme="1"/>
        <rFont val="맑은 고딕"/>
        <family val="2"/>
        <charset val="129"/>
        <scheme val="minor"/>
      </rPr>
      <t>한다.</t>
    </r>
    <phoneticPr fontId="11" type="noConversion"/>
  </si>
  <si>
    <t>2. 품질활동 체크리스트 테일러링</t>
    <phoneticPr fontId="11" type="noConversion"/>
  </si>
  <si>
    <t>3. 품질활동 수행 후 품질활동 결과를 기록한다.</t>
    <phoneticPr fontId="11" type="noConversion"/>
  </si>
  <si>
    <t>1. 품질감사 시점</t>
    <phoneticPr fontId="11" type="noConversion"/>
  </si>
  <si>
    <r>
      <t xml:space="preserve">  - </t>
    </r>
    <r>
      <rPr>
        <b/>
        <u/>
        <sz val="11"/>
        <color theme="1"/>
        <rFont val="맑은 고딕"/>
        <family val="3"/>
        <charset val="129"/>
        <scheme val="minor"/>
      </rPr>
      <t>설계</t>
    </r>
    <r>
      <rPr>
        <b/>
        <u/>
        <sz val="11"/>
        <color theme="1"/>
        <rFont val="맑은 고딕"/>
        <family val="2"/>
        <charset val="129"/>
        <scheme val="minor"/>
      </rPr>
      <t xml:space="preserve"> 종료 시점</t>
    </r>
    <r>
      <rPr>
        <sz val="11"/>
        <color theme="1"/>
        <rFont val="맑은 고딕"/>
        <family val="2"/>
        <charset val="129"/>
        <scheme val="minor"/>
      </rPr>
      <t xml:space="preserve">  :  준비/계획, 분석단계, 설계단계</t>
    </r>
    <phoneticPr fontId="11" type="noConversion"/>
  </si>
  <si>
    <r>
      <t xml:space="preserve">  - </t>
    </r>
    <r>
      <rPr>
        <b/>
        <u/>
        <sz val="11"/>
        <color theme="1"/>
        <rFont val="맑은 고딕"/>
        <family val="3"/>
        <charset val="129"/>
        <scheme val="minor"/>
      </rPr>
      <t>구현 완료 혹은 오픈 전</t>
    </r>
    <r>
      <rPr>
        <sz val="11"/>
        <color theme="1"/>
        <rFont val="맑은 고딕"/>
        <family val="2"/>
        <charset val="129"/>
        <scheme val="minor"/>
      </rPr>
      <t xml:space="preserve"> : 구현/테스트 단계, 배포/이행 단계</t>
    </r>
    <phoneticPr fontId="11" type="noConversion"/>
  </si>
  <si>
    <t>사용자매뉴얼 작성시 누락된 항목은 없는가?
(요구사항 관련 화면, 내용 필수 포함)</t>
    <phoneticPr fontId="11" type="noConversion"/>
  </si>
  <si>
    <t>오류접수 대장은 작성되었는가?</t>
    <phoneticPr fontId="11" type="noConversion"/>
  </si>
  <si>
    <r>
      <t xml:space="preserve">   -</t>
    </r>
    <r>
      <rPr>
        <sz val="11"/>
        <color theme="1"/>
        <rFont val="맑은 고딕"/>
        <family val="2"/>
        <charset val="129"/>
        <scheme val="minor"/>
      </rPr>
      <t xml:space="preserve"> 적합, 일부적합, 부적합은 아래와 같은 기준으로 판단한다.</t>
    </r>
    <phoneticPr fontId="11" type="noConversion"/>
  </si>
  <si>
    <t>품질관리 점검결과 등급 기준</t>
    <phoneticPr fontId="42" type="noConversion"/>
  </si>
  <si>
    <r>
      <t xml:space="preserve">      </t>
    </r>
    <r>
      <rPr>
        <sz val="11"/>
        <color theme="1"/>
        <rFont val="맑은 고딕"/>
        <family val="3"/>
        <charset val="129"/>
      </rPr>
      <t>•</t>
    </r>
    <r>
      <rPr>
        <sz val="10.45"/>
        <color theme="1"/>
        <rFont val="맑은 고딕"/>
        <family val="3"/>
        <charset val="129"/>
      </rPr>
      <t xml:space="preserve"> 부</t>
    </r>
    <r>
      <rPr>
        <sz val="11"/>
        <color theme="1"/>
        <rFont val="맑은 고딕"/>
        <family val="2"/>
        <charset val="129"/>
        <scheme val="minor"/>
      </rPr>
      <t>적합 : 체크항목의 내용과 관련된 근거자료가 존재하지 않거나, 존재하더라도 체크항목의 내용이나 조건에 부합되지 않을 경우</t>
    </r>
    <phoneticPr fontId="11" type="noConversion"/>
  </si>
  <si>
    <t>프로젝트 종료보고서</t>
    <phoneticPr fontId="11" type="noConversion"/>
  </si>
  <si>
    <t>종료보고</t>
    <phoneticPr fontId="11" type="noConversion"/>
  </si>
  <si>
    <t>프로젝트 종료</t>
    <phoneticPr fontId="11" type="noConversion"/>
  </si>
  <si>
    <t>인수인계 실시</t>
    <phoneticPr fontId="11" type="noConversion"/>
  </si>
  <si>
    <t>CS사업팀 인수인계</t>
    <phoneticPr fontId="11" type="noConversion"/>
  </si>
  <si>
    <t>CS사업팀 인수인계를 실시하였는가?</t>
    <phoneticPr fontId="11" type="noConversion"/>
  </si>
  <si>
    <t>준비/계획</t>
    <phoneticPr fontId="42" type="noConversion"/>
  </si>
  <si>
    <t>사업관리</t>
    <phoneticPr fontId="11" type="noConversion"/>
  </si>
  <si>
    <r>
      <t xml:space="preserve">      </t>
    </r>
    <r>
      <rPr>
        <sz val="11"/>
        <color theme="1"/>
        <rFont val="맑은 고딕"/>
        <family val="3"/>
        <charset val="129"/>
      </rPr>
      <t>•</t>
    </r>
    <r>
      <rPr>
        <sz val="10.45"/>
        <color theme="1"/>
        <rFont val="맑은 고딕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  <scheme val="minor"/>
      </rPr>
      <t>적합 : 체크항목의 내용과 관련된 근거자료가 존재하고, 체크항목의 내용과 조건에 100% 부합될 경우</t>
    </r>
    <phoneticPr fontId="11" type="noConversion"/>
  </si>
  <si>
    <r>
      <t xml:space="preserve">      </t>
    </r>
    <r>
      <rPr>
        <sz val="11"/>
        <color theme="1"/>
        <rFont val="맑은 고딕"/>
        <family val="3"/>
        <charset val="129"/>
      </rPr>
      <t>•</t>
    </r>
    <r>
      <rPr>
        <sz val="10.45"/>
        <color theme="1"/>
        <rFont val="맑은 고딕"/>
        <family val="3"/>
        <charset val="129"/>
      </rPr>
      <t xml:space="preserve"> 일부</t>
    </r>
    <r>
      <rPr>
        <sz val="11"/>
        <color theme="1"/>
        <rFont val="맑은 고딕"/>
        <family val="2"/>
        <charset val="129"/>
        <scheme val="minor"/>
      </rPr>
      <t>적합 : 체크항목의 내용과 관련된 근거자료가 존재하고, 체크항목의 내용과 조건에 60% 이상 부합된다고 판단될 경우</t>
    </r>
    <phoneticPr fontId="11" type="noConversion"/>
  </si>
  <si>
    <t>프로젝트 수행</t>
    <phoneticPr fontId="11" type="noConversion"/>
  </si>
  <si>
    <t>프로젝트 수행 중 고객사와 회의한 결과가 기록된 회의록이 작성 되었는가?</t>
    <phoneticPr fontId="11" type="noConversion"/>
  </si>
  <si>
    <t>프로젝트 수행 규모에 비하여 작성된 문서의 개수는 적절한가?
(최소 모듈별 1개 이상 존재)</t>
    <phoneticPr fontId="11" type="noConversion"/>
  </si>
  <si>
    <t>회의록에 반드시 포함되어야 할 사항이 기재되었는가?
(회의명, 회의일시, 회의장소, 주제, 참석자, 작성자, 내용 등)</t>
    <phoneticPr fontId="11" type="noConversion"/>
  </si>
  <si>
    <t>주요 내용이 포함되어 있는가? (회의내용, 결정사항, 검토사항, 실행항목 등)</t>
    <phoneticPr fontId="11" type="noConversion"/>
  </si>
  <si>
    <t>프로젝트 수행/종료</t>
    <phoneticPr fontId="42" type="noConversion"/>
  </si>
  <si>
    <t>위험/이슈관리</t>
    <phoneticPr fontId="11" type="noConversion"/>
  </si>
  <si>
    <t>프로젝트 착수</t>
    <phoneticPr fontId="11" type="noConversion"/>
  </si>
  <si>
    <t>일정진척관리</t>
    <phoneticPr fontId="11" type="noConversion"/>
  </si>
  <si>
    <t>주월간 보고 및 단계별 보고 등 전체 보고계획은 정의되었는가?</t>
    <phoneticPr fontId="11" type="noConversion"/>
  </si>
  <si>
    <t>분석/설계 단계 품질관리 일정은 수립되어 있는가?
(Check List/분석/설계 산출물 본사 제출일정)</t>
    <phoneticPr fontId="11" type="noConversion"/>
  </si>
  <si>
    <t>구현/테스트 단계 품질관리 일정은 수립되어 있는가?
(Check List/구현/테스트 산출물 본사 제출일정)</t>
    <phoneticPr fontId="11" type="noConversion"/>
  </si>
  <si>
    <t>프로젝트 산출물이 명확히 정의되어 있는가?
(고객과 협의 내용외에 필수 산출물 정의)</t>
    <phoneticPr fontId="11" type="noConversion"/>
  </si>
  <si>
    <t>이슈 및 위험목록</t>
    <phoneticPr fontId="11" type="noConversion"/>
  </si>
  <si>
    <t>해당 단계에서 수행해야하는 모든 Activity와 Task가 완료되었는가?</t>
    <phoneticPr fontId="11" type="noConversion"/>
  </si>
  <si>
    <t>자원관리</t>
    <phoneticPr fontId="11" type="noConversion"/>
  </si>
  <si>
    <t>투입현황/주요현황</t>
    <phoneticPr fontId="11" type="noConversion"/>
  </si>
  <si>
    <t>프로젝트 진척보고는 베이스라인,실적,예측 등을 포함하는가?</t>
    <phoneticPr fontId="11" type="noConversion"/>
  </si>
  <si>
    <t>의사소통</t>
    <phoneticPr fontId="11" type="noConversion"/>
  </si>
  <si>
    <t>프로젝트 품질활동 계획</t>
  </si>
  <si>
    <t>▣프로젝트 명</t>
    <phoneticPr fontId="5" type="noConversion"/>
  </si>
  <si>
    <t>▣프로젝트 PM</t>
  </si>
  <si>
    <t>1. 프로젝트 수행 기간</t>
  </si>
  <si>
    <t>구분</t>
    <phoneticPr fontId="5" type="noConversion"/>
  </si>
  <si>
    <t>시작일</t>
  </si>
  <si>
    <t>종료일</t>
  </si>
  <si>
    <t>비고</t>
  </si>
  <si>
    <t>프로젝트 수행기간</t>
  </si>
  <si>
    <t>2. 품질활동 계획 수립</t>
  </si>
  <si>
    <t>품질활동 계획</t>
  </si>
  <si>
    <t xml:space="preserve">  계획 수립</t>
  </si>
  <si>
    <t xml:space="preserve">  1차 활동 (설계완료)</t>
  </si>
  <si>
    <t xml:space="preserve">  2차 활동 (배포/이행 후)</t>
  </si>
  <si>
    <t>3. 품질감사 기준</t>
  </si>
  <si>
    <t>[참고] 품질감사(중간) 대상 기준</t>
  </si>
  <si>
    <t>대상여부</t>
  </si>
  <si>
    <t>원인</t>
  </si>
  <si>
    <t>계약금액</t>
  </si>
  <si>
    <t>계획공수</t>
  </si>
  <si>
    <t>수행기간</t>
  </si>
  <si>
    <t>품질감사 계획</t>
  </si>
  <si>
    <t>품질감사(중간) 대상 여부</t>
  </si>
  <si>
    <t>O</t>
  </si>
  <si>
    <t>2억 이상</t>
  </si>
  <si>
    <t>20MM 이상</t>
  </si>
  <si>
    <t>5개월 이상</t>
  </si>
  <si>
    <t>SI 모듈 포함 여부</t>
  </si>
  <si>
    <t>-</t>
  </si>
  <si>
    <t>※ 계약금액 기준은 매입분 제외 금액임</t>
  </si>
  <si>
    <t>On-Site 점검 필요 여부</t>
  </si>
  <si>
    <t>※ 계약금액, 계획공수, 수행기간의 3가지 조건 중 한가지 이상 해당하는 프로젝트를 대상으로 중간감사 수행</t>
  </si>
  <si>
    <t>4. 품질감사 수행 일정</t>
  </si>
  <si>
    <t>품질감사 수행</t>
  </si>
  <si>
    <t>중간 - 설계완료 후</t>
  </si>
  <si>
    <t>산출물 기반으로 진행</t>
  </si>
  <si>
    <t>종료 - 종료보고 전</t>
  </si>
  <si>
    <t>품질활동 계획서, 회의록 등 관련 산출물 점검</t>
  </si>
  <si>
    <t>미포함</t>
    <phoneticPr fontId="11" type="noConversion"/>
  </si>
  <si>
    <t>필요</t>
    <phoneticPr fontId="11" type="noConversion"/>
  </si>
  <si>
    <t>원격접근 불가</t>
    <phoneticPr fontId="11" type="noConversion"/>
  </si>
  <si>
    <t>계약금액</t>
    <phoneticPr fontId="11" type="noConversion"/>
  </si>
  <si>
    <t>2019.12.13</t>
    <phoneticPr fontId="11" type="noConversion"/>
  </si>
  <si>
    <t>박민수</t>
    <phoneticPr fontId="11" type="noConversion"/>
  </si>
  <si>
    <t>계약금 : 228,000,000원, 계획공수 : 20.55MM</t>
    <phoneticPr fontId="11" type="noConversion"/>
  </si>
  <si>
    <t>1.1</t>
    <phoneticPr fontId="11" type="noConversion"/>
  </si>
  <si>
    <t>2020.06.29</t>
    <phoneticPr fontId="11" type="noConversion"/>
  </si>
  <si>
    <t>Project 명</t>
    <phoneticPr fontId="11" type="noConversion"/>
  </si>
  <si>
    <t>PM 성명</t>
    <phoneticPr fontId="11" type="noConversion"/>
  </si>
  <si>
    <t>버전 1.1</t>
    <phoneticPr fontId="11" type="noConversion"/>
  </si>
  <si>
    <t>체크 산출물</t>
    <phoneticPr fontId="11" type="noConversion"/>
  </si>
  <si>
    <t>적합</t>
  </si>
  <si>
    <t>옵션</t>
  </si>
  <si>
    <t xml:space="preserve">교육 일정, 내용, 대상이 정의되었는가? </t>
    <phoneticPr fontId="11" type="noConversion"/>
  </si>
  <si>
    <t>산출물 테일러링 리스트</t>
    <phoneticPr fontId="11" type="noConversion"/>
  </si>
  <si>
    <t>산출물 테일러링 리스트는 작성되었는가?</t>
    <phoneticPr fontId="11" type="noConversion"/>
  </si>
  <si>
    <t>필수</t>
    <phoneticPr fontId="11" type="noConversion"/>
  </si>
  <si>
    <t>R&amp;R이 명확히 명시되어 있는가?</t>
    <phoneticPr fontId="11" type="noConversion"/>
  </si>
  <si>
    <t>고객 교육과 관련한 일정,대상,범위가 수립되어 있는가?</t>
    <phoneticPr fontId="11" type="noConversion"/>
  </si>
  <si>
    <r>
      <t xml:space="preserve">고객 인수인계 일정이 명시되어 있는가
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- 인수인계와 상응하는(운영자/관리자 교육등) Activity 일정 수립 등</t>
    </r>
    <phoneticPr fontId="11" type="noConversion"/>
  </si>
  <si>
    <t>분석/설계 단계 품질관리는 수행하였는가?</t>
    <phoneticPr fontId="11" type="noConversion"/>
  </si>
  <si>
    <t>구현/테스트 단계 품질관리는 수행하였는가?</t>
    <phoneticPr fontId="11" type="noConversion"/>
  </si>
  <si>
    <t>요구사항 정의서/추적표</t>
    <phoneticPr fontId="11" type="noConversion"/>
  </si>
  <si>
    <r>
      <t>요구사항이 명확히 기술되었는가?</t>
    </r>
    <r>
      <rPr>
        <strike/>
        <sz val="9"/>
        <color theme="1"/>
        <rFont val="맑은 고딕"/>
        <family val="3"/>
        <charset val="129"/>
        <scheme val="minor"/>
      </rPr>
      <t xml:space="preserve">
</t>
    </r>
    <r>
      <rPr>
        <sz val="9"/>
        <color theme="1"/>
        <rFont val="맑은 고딕"/>
        <family val="3"/>
        <charset val="129"/>
        <scheme val="minor"/>
      </rPr>
      <t xml:space="preserve">  - RFP에 정의된 요구사항에 대하여 누락 확인
  - 표현의 모호성 제거해야 함( '~등' 과 같은 단어)</t>
    </r>
    <phoneticPr fontId="11" type="noConversion"/>
  </si>
  <si>
    <t>매핑/GAP분석의 GAP설명과 대응방안이 구체적으로 작성되어 있는가?</t>
    <phoneticPr fontId="11" type="noConversion"/>
  </si>
  <si>
    <t xml:space="preserve">수용여부는 명확히 기입하였는가?
  - 수용여부가 '부분수용', '불가' 일 경우 그 근거가 '비고' 란에 작성되어있는가? </t>
    <phoneticPr fontId="11" type="noConversion"/>
  </si>
  <si>
    <t>요구사항 정의서를 고객에게 제출하였는가?
  - 향후 분쟁시 근거가 될 수 있도록 e-mail 로 반드시 제출 및 고객의 이의사항에 대한 추적 가능해야 함.</t>
    <phoneticPr fontId="11" type="noConversion"/>
  </si>
  <si>
    <t>현황분석</t>
    <phoneticPr fontId="11" type="noConversion"/>
  </si>
  <si>
    <t>현황분석서</t>
    <phoneticPr fontId="11" type="noConversion"/>
  </si>
  <si>
    <t>AS-IS 메뉴구조도 작성이 되었는가?</t>
    <phoneticPr fontId="11" type="noConversion"/>
  </si>
  <si>
    <t>AS-IS 기능리스트는 작성이 되었는가?
  - TO-BE 지원여부에 대한 GAP 차이 체크 확인</t>
    <phoneticPr fontId="11" type="noConversion"/>
  </si>
  <si>
    <t>기본 DB 스키마 변경, SI 모듈 존재 시 해당 Table에 대한 정의서 작성이 되었는가?</t>
    <phoneticPr fontId="11" type="noConversion"/>
  </si>
  <si>
    <t>인터페이스 목록 또는 정의서 작성이 되었는가?</t>
    <phoneticPr fontId="11" type="noConversion"/>
  </si>
  <si>
    <t>프로그램 목록(SI모듈)</t>
    <phoneticPr fontId="11" type="noConversion"/>
  </si>
  <si>
    <t>마이그레이션 설계</t>
    <phoneticPr fontId="11" type="noConversion"/>
  </si>
  <si>
    <t>마이그레이션 전략수립</t>
    <phoneticPr fontId="11" type="noConversion"/>
  </si>
  <si>
    <t>마이그레이션 계획서</t>
    <phoneticPr fontId="11" type="noConversion"/>
  </si>
  <si>
    <t>마이그레이션 계획서 작성은 되었는가?</t>
  </si>
  <si>
    <t>마이그레이션 범위(종류 &amp; 분량) 가 명시되어있는가?</t>
  </si>
  <si>
    <t>마이그레이션 절차 및 일정이 명시되어 있는가?</t>
  </si>
  <si>
    <t>마이그레이션 검증 방안에 대하여 명시되어 있는가?</t>
  </si>
  <si>
    <t>테스트 환경이 명시되어 있는가?</t>
    <phoneticPr fontId="11" type="noConversion"/>
  </si>
  <si>
    <t>테스트 일정이 명시되어 있는가?</t>
    <phoneticPr fontId="11" type="noConversion"/>
  </si>
  <si>
    <t>테스트 담당자가 명시되어 있는가?</t>
    <phoneticPr fontId="11" type="noConversion"/>
  </si>
  <si>
    <t>단위테스트 케이스 작성이 되었는가?
(모듈별 설치 체크리스트 포함)</t>
    <phoneticPr fontId="11" type="noConversion"/>
  </si>
  <si>
    <t>단위테스트 케이스 결과서가 작성이 되었는가?
(모듈별 설치 테스트 수행 포함)</t>
    <phoneticPr fontId="11" type="noConversion"/>
  </si>
  <si>
    <t>단위테스트 케이스 결과서에 테스트결과가 기록되어 있는가?</t>
    <phoneticPr fontId="11" type="noConversion"/>
  </si>
  <si>
    <t>통합테스트를 실행하였는가?</t>
    <phoneticPr fontId="11" type="noConversion"/>
  </si>
  <si>
    <r>
      <t xml:space="preserve"> </t>
    </r>
    <r>
      <rPr>
        <sz val="11"/>
        <color theme="1"/>
        <rFont val="맑은 고딕"/>
        <family val="2"/>
        <charset val="129"/>
        <scheme val="minor"/>
      </rPr>
      <t xml:space="preserve"> - 임의로 체크항목을 지워서는 안되며, </t>
    </r>
    <r>
      <rPr>
        <b/>
        <u/>
        <sz val="11"/>
        <color theme="1"/>
        <rFont val="맑은 고딕"/>
        <family val="3"/>
        <charset val="129"/>
        <scheme val="minor"/>
      </rPr>
      <t>필수 항목은 반드시 지켜야 함</t>
    </r>
    <phoneticPr fontId="11" type="noConversion"/>
  </si>
  <si>
    <t>1.4</t>
    <phoneticPr fontId="11" type="noConversion"/>
  </si>
  <si>
    <t>집계 수정</t>
    <phoneticPr fontId="11" type="noConversion"/>
  </si>
  <si>
    <t>2020.09.03</t>
    <phoneticPr fontId="11" type="noConversion"/>
  </si>
  <si>
    <t>강경철</t>
    <phoneticPr fontId="11" type="noConversion"/>
  </si>
  <si>
    <t>1.5</t>
    <phoneticPr fontId="11" type="noConversion"/>
  </si>
  <si>
    <t>PM팀, 기술관리팀 의견 수렴하여 현행화</t>
    <phoneticPr fontId="11" type="noConversion"/>
  </si>
  <si>
    <t>2023.02.10</t>
    <phoneticPr fontId="11" type="noConversion"/>
  </si>
  <si>
    <t>이철한</t>
    <phoneticPr fontId="11" type="noConversion"/>
  </si>
  <si>
    <t xml:space="preserve">범위 관리 계획은 명확히 표시되어 있는가?
 - RFP, 요구사항 포함 여부 확인 </t>
    <phoneticPr fontId="11" type="noConversion"/>
  </si>
  <si>
    <t>3rd 제품 발주 일정은 수립되어 있는가?</t>
    <phoneticPr fontId="11" type="noConversion"/>
  </si>
  <si>
    <r>
      <t xml:space="preserve">5M/D(40M/H)를 초과하는 Task가 존재하는가?
</t>
    </r>
    <r>
      <rPr>
        <b/>
        <sz val="9"/>
        <color theme="1"/>
        <rFont val="맑은 고딕"/>
        <family val="3"/>
        <charset val="129"/>
        <scheme val="minor"/>
      </rPr>
      <t>(분석,설계,개발 항목에 적용. 마이그레이션 및 테스트, 안정화 단계는 예외 )</t>
    </r>
    <phoneticPr fontId="11" type="noConversion"/>
  </si>
  <si>
    <t>회의록/activity관리대장 
또는 PMS실행항목</t>
    <phoneticPr fontId="11" type="noConversion"/>
  </si>
  <si>
    <r>
      <rPr>
        <sz val="9"/>
        <color theme="1"/>
        <rFont val="맑은 고딕"/>
        <family val="3"/>
        <charset val="129"/>
        <scheme val="minor"/>
      </rPr>
      <t>고객사</t>
    </r>
    <r>
      <rPr>
        <sz val="9"/>
        <color rgb="FF0000FF"/>
        <rFont val="맑은 고딕"/>
        <family val="3"/>
        <charset val="129"/>
        <scheme val="minor"/>
      </rPr>
      <t xml:space="preserve"> 
</t>
    </r>
    <r>
      <rPr>
        <sz val="9"/>
        <color theme="1"/>
        <rFont val="맑은 고딕"/>
        <family val="3"/>
        <charset val="129"/>
        <scheme val="minor"/>
      </rPr>
      <t>주간(또는 월간 포함)보고</t>
    </r>
    <phoneticPr fontId="11" type="noConversion"/>
  </si>
  <si>
    <r>
      <t>프로젝트 평가를 위한</t>
    </r>
    <r>
      <rPr>
        <b/>
        <sz val="9"/>
        <color theme="1"/>
        <rFont val="맑은 고딕"/>
        <family val="3"/>
        <charset val="129"/>
        <scheme val="minor"/>
      </rPr>
      <t xml:space="preserve"> (내부)</t>
    </r>
    <r>
      <rPr>
        <sz val="9"/>
        <rFont val="맑은 고딕"/>
        <family val="3"/>
        <charset val="129"/>
        <scheme val="minor"/>
      </rPr>
      <t>종료보고서를 작성하였는가?</t>
    </r>
    <phoneticPr fontId="11" type="noConversion"/>
  </si>
  <si>
    <r>
      <t xml:space="preserve">회의에서 도출된 실행항목에 대하여 관리 대장을 작성하였는가?
  - 실행항목이 존재한다면 관리 대장을 통하여 실행에 대한 추적이 가능해야 함
</t>
    </r>
    <r>
      <rPr>
        <b/>
        <sz val="9"/>
        <color rgb="FFFF0000"/>
        <rFont val="맑은 고딕"/>
        <family val="3"/>
        <charset val="129"/>
        <scheme val="minor"/>
      </rPr>
      <t xml:space="preserve">  </t>
    </r>
    <r>
      <rPr>
        <b/>
        <sz val="9"/>
        <color theme="1"/>
        <rFont val="맑은 고딕"/>
        <family val="3"/>
        <charset val="129"/>
        <scheme val="minor"/>
      </rPr>
      <t xml:space="preserve"> (회의록activity관리대장 또는 PMS 실행항목[다운로드])</t>
    </r>
    <r>
      <rPr>
        <sz val="9"/>
        <rFont val="맑은 고딕"/>
        <family val="3"/>
        <charset val="129"/>
        <scheme val="minor"/>
      </rPr>
      <t xml:space="preserve">
  - 기본 템플릿 제공.(템플릿 미사용시 다른 산출물로 대체 가능)</t>
    </r>
    <phoneticPr fontId="11" type="noConversion"/>
  </si>
  <si>
    <r>
      <t xml:space="preserve">프로젝트 규모,공수,비용,일정이 정기적으로 추적되는가?
</t>
    </r>
    <r>
      <rPr>
        <b/>
        <sz val="9"/>
        <color theme="1"/>
        <rFont val="맑은 고딕"/>
        <family val="3"/>
        <charset val="129"/>
        <scheme val="minor"/>
      </rPr>
      <t>(PMS 주간실적 현황 관리)</t>
    </r>
    <phoneticPr fontId="11" type="noConversion"/>
  </si>
  <si>
    <r>
      <t xml:space="preserve">리스크 및 이슈 관리가 되었는가? - 현황, 대응방안 등
</t>
    </r>
    <r>
      <rPr>
        <b/>
        <sz val="9"/>
        <color theme="1"/>
        <rFont val="맑은 고딕"/>
        <family val="3"/>
        <charset val="129"/>
        <scheme val="minor"/>
      </rPr>
      <t>(PMS 관리 또는 별도자료 관리)</t>
    </r>
    <phoneticPr fontId="11" type="noConversion"/>
  </si>
  <si>
    <t>시스템 
설계</t>
    <phoneticPr fontId="11" type="noConversion"/>
  </si>
  <si>
    <t>테스트 
설계</t>
    <phoneticPr fontId="11" type="noConversion"/>
  </si>
  <si>
    <t>요구사항 추적표</t>
    <phoneticPr fontId="11" type="noConversion"/>
  </si>
  <si>
    <t>통합 
테스트</t>
    <phoneticPr fontId="11" type="noConversion"/>
  </si>
  <si>
    <t>결함및시정조치목록(통합)
또는
오류관리대장</t>
    <phoneticPr fontId="11" type="noConversion"/>
  </si>
  <si>
    <t>1.6</t>
    <phoneticPr fontId="11" type="noConversion"/>
  </si>
  <si>
    <t>점검결과 집계 N/A 수식오류 수정</t>
    <phoneticPr fontId="11" type="noConversion"/>
  </si>
  <si>
    <t>2024.03.12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</si>
</sst>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66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맑은 고딕"/>
      <family val="3"/>
      <charset val="129"/>
    </font>
    <font>
      <sz val="10"/>
      <color indexed="9"/>
      <name val="맑은 고딕"/>
      <family val="3"/>
      <charset val="129"/>
    </font>
    <font>
      <sz val="10"/>
      <color indexed="10"/>
      <name val="맑은 고딕"/>
      <family val="3"/>
      <charset val="129"/>
    </font>
    <font>
      <b/>
      <sz val="10"/>
      <color indexed="52"/>
      <name val="맑은 고딕"/>
      <family val="3"/>
      <charset val="129"/>
    </font>
    <font>
      <sz val="10"/>
      <color indexed="20"/>
      <name val="맑은 고딕"/>
      <family val="3"/>
      <charset val="129"/>
    </font>
    <font>
      <sz val="8"/>
      <name val="가는각진제목체"/>
      <family val="1"/>
      <charset val="129"/>
    </font>
    <font>
      <sz val="10"/>
      <color indexed="60"/>
      <name val="맑은 고딕"/>
      <family val="3"/>
      <charset val="129"/>
    </font>
    <font>
      <i/>
      <sz val="10"/>
      <color indexed="23"/>
      <name val="맑은 고딕"/>
      <family val="3"/>
      <charset val="129"/>
    </font>
    <font>
      <b/>
      <sz val="10"/>
      <color indexed="9"/>
      <name val="맑은 고딕"/>
      <family val="3"/>
      <charset val="129"/>
    </font>
    <font>
      <sz val="10"/>
      <color indexed="52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10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0"/>
      <color indexed="17"/>
      <name val="맑은 고딕"/>
      <family val="3"/>
      <charset val="129"/>
    </font>
    <font>
      <b/>
      <sz val="10"/>
      <color indexed="63"/>
      <name val="맑은 고딕"/>
      <family val="3"/>
      <charset val="129"/>
    </font>
    <font>
      <sz val="10"/>
      <name val="Helv"/>
      <family val="2"/>
    </font>
    <font>
      <sz val="12"/>
      <name val="바탕체"/>
      <family val="1"/>
      <charset val="129"/>
    </font>
    <font>
      <sz val="10"/>
      <name val="굴림"/>
      <family val="3"/>
      <charset val="129"/>
    </font>
    <font>
      <sz val="11"/>
      <name val="맑은 고딕"/>
      <family val="3"/>
      <charset val="129"/>
    </font>
    <font>
      <sz val="18"/>
      <name val="맑은 고딕"/>
      <family val="3"/>
      <charset val="129"/>
    </font>
    <font>
      <sz val="26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u/>
      <sz val="14"/>
      <color indexed="8"/>
      <name val="맑은 고딕"/>
      <family val="3"/>
      <charset val="129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u/>
      <sz val="11"/>
      <color theme="1"/>
      <name val="맑은 고딕"/>
      <family val="3"/>
      <charset val="129"/>
      <scheme val="minor"/>
    </font>
    <font>
      <b/>
      <u/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0.45"/>
      <color theme="1"/>
      <name val="맑은 고딕"/>
      <family val="3"/>
      <charset val="129"/>
    </font>
    <font>
      <b/>
      <sz val="20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0"/>
      <name val="Arial"/>
      <family val="2"/>
    </font>
    <font>
      <b/>
      <sz val="11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inor"/>
    </font>
    <font>
      <strike/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color rgb="FF0000FF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trike/>
      <sz val="9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9"/>
      <color rgb="FF0000CC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1">
    <xf numFmtId="0" fontId="0" fillId="0" borderId="0">
      <alignment vertical="center"/>
    </xf>
    <xf numFmtId="0" fontId="31" fillId="0" borderId="0"/>
    <xf numFmtId="0" fontId="12" fillId="2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7" fillId="21" borderId="2" applyNumberFormat="0" applyFont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30" fillId="0" borderId="0"/>
    <xf numFmtId="0" fontId="21" fillId="0" borderId="4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9" fillId="20" borderId="9" applyNumberFormat="0" applyAlignment="0" applyProtection="0">
      <alignment vertical="center"/>
    </xf>
    <xf numFmtId="0" fontId="10" fillId="0" borderId="0"/>
    <xf numFmtId="0" fontId="30" fillId="0" borderId="0"/>
    <xf numFmtId="0" fontId="9" fillId="0" borderId="0">
      <alignment vertical="center"/>
    </xf>
    <xf numFmtId="0" fontId="10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53" fillId="0" borderId="0"/>
  </cellStyleXfs>
  <cellXfs count="157">
    <xf numFmtId="0" fontId="0" fillId="0" borderId="0" xfId="0">
      <alignment vertical="center"/>
    </xf>
    <xf numFmtId="0" fontId="32" fillId="0" borderId="0" xfId="0" applyFont="1">
      <alignment vertical="center"/>
    </xf>
    <xf numFmtId="0" fontId="33" fillId="0" borderId="0" xfId="44" applyFont="1" applyAlignment="1">
      <alignment vertical="center"/>
    </xf>
    <xf numFmtId="0" fontId="33" fillId="0" borderId="0" xfId="44" applyFont="1" applyAlignment="1">
      <alignment horizontal="center" vertical="center"/>
    </xf>
    <xf numFmtId="0" fontId="34" fillId="0" borderId="0" xfId="44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14" fontId="34" fillId="0" borderId="0" xfId="44" quotePrefix="1" applyNumberFormat="1" applyFont="1" applyAlignment="1">
      <alignment horizontal="center" vertical="center"/>
    </xf>
    <xf numFmtId="0" fontId="36" fillId="0" borderId="0" xfId="44" applyFont="1" applyFill="1" applyBorder="1" applyAlignment="1">
      <alignment vertical="center" wrapText="1"/>
    </xf>
    <xf numFmtId="0" fontId="37" fillId="0" borderId="0" xfId="44" applyFont="1" applyBorder="1" applyAlignment="1">
      <alignment horizontal="center" vertical="center" wrapText="1"/>
    </xf>
    <xf numFmtId="0" fontId="33" fillId="0" borderId="0" xfId="45" applyFont="1" applyAlignment="1">
      <alignment vertical="center"/>
    </xf>
    <xf numFmtId="0" fontId="36" fillId="24" borderId="10" xfId="45" applyFont="1" applyFill="1" applyBorder="1" applyAlignment="1">
      <alignment horizontal="center" vertical="center"/>
    </xf>
    <xf numFmtId="0" fontId="33" fillId="0" borderId="10" xfId="45" applyFont="1" applyBorder="1" applyAlignment="1">
      <alignment horizontal="center" vertical="center"/>
    </xf>
    <xf numFmtId="0" fontId="40" fillId="0" borderId="0" xfId="0" applyFont="1">
      <alignment vertical="center"/>
    </xf>
    <xf numFmtId="0" fontId="9" fillId="0" borderId="15" xfId="46" applyBorder="1">
      <alignment vertical="center"/>
    </xf>
    <xf numFmtId="0" fontId="9" fillId="0" borderId="0" xfId="46">
      <alignment vertical="center"/>
    </xf>
    <xf numFmtId="0" fontId="37" fillId="0" borderId="10" xfId="47" applyFont="1" applyFill="1" applyBorder="1" applyAlignment="1">
      <alignment horizontal="center" vertical="center" wrapText="1"/>
    </xf>
    <xf numFmtId="0" fontId="37" fillId="26" borderId="10" xfId="47" applyFont="1" applyFill="1" applyBorder="1" applyAlignment="1">
      <alignment horizontal="center" vertical="center" wrapText="1"/>
    </xf>
    <xf numFmtId="0" fontId="43" fillId="0" borderId="15" xfId="46" applyFont="1" applyBorder="1">
      <alignment vertical="center"/>
    </xf>
    <xf numFmtId="176" fontId="33" fillId="0" borderId="10" xfId="45" applyNumberFormat="1" applyFont="1" applyBorder="1" applyAlignment="1">
      <alignment horizontal="center" vertical="center"/>
    </xf>
    <xf numFmtId="0" fontId="37" fillId="28" borderId="10" xfId="47" applyFont="1" applyFill="1" applyBorder="1" applyAlignment="1">
      <alignment horizontal="center" vertical="center" wrapText="1"/>
    </xf>
    <xf numFmtId="0" fontId="9" fillId="0" borderId="0" xfId="46" applyBorder="1">
      <alignment vertical="center"/>
    </xf>
    <xf numFmtId="0" fontId="37" fillId="0" borderId="12" xfId="47" applyFont="1" applyFill="1" applyBorder="1" applyAlignment="1">
      <alignment horizontal="center" vertical="center" wrapText="1"/>
    </xf>
    <xf numFmtId="0" fontId="39" fillId="0" borderId="10" xfId="0" applyFont="1" applyBorder="1" applyAlignment="1">
      <alignment horizontal="center" vertical="center" wrapText="1"/>
    </xf>
    <xf numFmtId="0" fontId="39" fillId="0" borderId="10" xfId="0" quotePrefix="1" applyFont="1" applyBorder="1" applyAlignment="1">
      <alignment horizontal="left" vertical="center" wrapText="1"/>
    </xf>
    <xf numFmtId="0" fontId="39" fillId="0" borderId="10" xfId="0" quotePrefix="1" applyFont="1" applyBorder="1" applyAlignment="1">
      <alignment horizontal="center" vertical="center" wrapText="1"/>
    </xf>
    <xf numFmtId="0" fontId="36" fillId="24" borderId="16" xfId="47" applyFont="1" applyFill="1" applyBorder="1" applyAlignment="1">
      <alignment horizontal="center" vertical="center" wrapText="1"/>
    </xf>
    <xf numFmtId="0" fontId="36" fillId="24" borderId="17" xfId="47" applyFont="1" applyFill="1" applyBorder="1" applyAlignment="1">
      <alignment horizontal="center" vertical="center" wrapText="1"/>
    </xf>
    <xf numFmtId="0" fontId="36" fillId="24" borderId="18" xfId="47" applyFont="1" applyFill="1" applyBorder="1" applyAlignment="1">
      <alignment horizontal="center" vertical="center" wrapText="1"/>
    </xf>
    <xf numFmtId="9" fontId="37" fillId="0" borderId="20" xfId="48" applyFont="1" applyFill="1" applyBorder="1" applyAlignment="1">
      <alignment horizontal="center" vertical="center" wrapText="1"/>
    </xf>
    <xf numFmtId="0" fontId="37" fillId="0" borderId="14" xfId="47" applyFont="1" applyFill="1" applyBorder="1" applyAlignment="1">
      <alignment horizontal="center" vertical="center" wrapText="1"/>
    </xf>
    <xf numFmtId="0" fontId="37" fillId="0" borderId="13" xfId="47" applyFont="1" applyFill="1" applyBorder="1" applyAlignment="1">
      <alignment horizontal="center" vertical="center" wrapText="1"/>
    </xf>
    <xf numFmtId="0" fontId="37" fillId="26" borderId="12" xfId="47" applyFont="1" applyFill="1" applyBorder="1" applyAlignment="1">
      <alignment horizontal="center" vertical="center" wrapText="1"/>
    </xf>
    <xf numFmtId="0" fontId="36" fillId="27" borderId="23" xfId="47" applyFont="1" applyFill="1" applyBorder="1" applyAlignment="1">
      <alignment horizontal="center" vertical="center" wrapText="1"/>
    </xf>
    <xf numFmtId="0" fontId="36" fillId="27" borderId="24" xfId="47" applyFont="1" applyFill="1" applyBorder="1" applyAlignment="1">
      <alignment horizontal="center" vertical="center" wrapText="1"/>
    </xf>
    <xf numFmtId="0" fontId="36" fillId="27" borderId="17" xfId="47" applyFont="1" applyFill="1" applyBorder="1" applyAlignment="1">
      <alignment horizontal="center" vertical="center" wrapText="1"/>
    </xf>
    <xf numFmtId="9" fontId="36" fillId="29" borderId="18" xfId="48" applyFont="1" applyFill="1" applyBorder="1" applyAlignment="1">
      <alignment horizontal="center" vertical="center" wrapText="1"/>
    </xf>
    <xf numFmtId="0" fontId="44" fillId="30" borderId="25" xfId="46" applyFont="1" applyFill="1" applyBorder="1" applyAlignment="1">
      <alignment horizontal="center" vertical="center"/>
    </xf>
    <xf numFmtId="9" fontId="44" fillId="0" borderId="22" xfId="46" applyNumberFormat="1" applyFont="1" applyBorder="1" applyAlignment="1">
      <alignment horizontal="center" vertical="center"/>
    </xf>
    <xf numFmtId="0" fontId="8" fillId="0" borderId="0" xfId="46" applyFont="1">
      <alignment vertical="center"/>
    </xf>
    <xf numFmtId="49" fontId="33" fillId="0" borderId="10" xfId="45" applyNumberFormat="1" applyFont="1" applyBorder="1" applyAlignment="1">
      <alignment horizontal="center" vertical="center"/>
    </xf>
    <xf numFmtId="0" fontId="38" fillId="0" borderId="0" xfId="45" applyFont="1" applyAlignment="1">
      <alignment horizontal="center" wrapText="1"/>
    </xf>
    <xf numFmtId="0" fontId="36" fillId="24" borderId="10" xfId="45" applyFont="1" applyFill="1" applyBorder="1" applyAlignment="1">
      <alignment horizontal="center" vertical="center" wrapText="1"/>
    </xf>
    <xf numFmtId="0" fontId="33" fillId="0" borderId="10" xfId="45" applyFont="1" applyBorder="1" applyAlignment="1">
      <alignment vertical="center" wrapText="1"/>
    </xf>
    <xf numFmtId="0" fontId="33" fillId="0" borderId="0" xfId="45" applyFont="1" applyAlignment="1">
      <alignment vertical="center" wrapText="1"/>
    </xf>
    <xf numFmtId="0" fontId="7" fillId="0" borderId="0" xfId="46" applyFont="1">
      <alignment vertical="center"/>
    </xf>
    <xf numFmtId="0" fontId="6" fillId="0" borderId="0" xfId="46" applyFont="1" applyAlignment="1">
      <alignment vertical="center" wrapText="1"/>
    </xf>
    <xf numFmtId="0" fontId="5" fillId="0" borderId="0" xfId="46" applyFont="1">
      <alignment vertical="center"/>
    </xf>
    <xf numFmtId="0" fontId="39" fillId="0" borderId="10" xfId="0" applyFont="1" applyBorder="1" applyAlignment="1">
      <alignment horizontal="left" vertical="center" wrapText="1"/>
    </xf>
    <xf numFmtId="0" fontId="39" fillId="0" borderId="10" xfId="0" applyFont="1" applyBorder="1" applyAlignment="1">
      <alignment horizontal="left" vertical="top" wrapText="1"/>
    </xf>
    <xf numFmtId="9" fontId="44" fillId="0" borderId="0" xfId="46" applyNumberFormat="1" applyFont="1" applyBorder="1" applyAlignment="1">
      <alignment horizontal="center" vertical="center"/>
    </xf>
    <xf numFmtId="0" fontId="4" fillId="0" borderId="0" xfId="46" applyFont="1">
      <alignment vertical="center"/>
    </xf>
    <xf numFmtId="14" fontId="33" fillId="0" borderId="10" xfId="45" applyNumberFormat="1" applyFont="1" applyBorder="1" applyAlignment="1">
      <alignment horizontal="center" vertical="center"/>
    </xf>
    <xf numFmtId="0" fontId="3" fillId="31" borderId="0" xfId="49" applyFill="1">
      <alignment vertical="center"/>
    </xf>
    <xf numFmtId="0" fontId="47" fillId="31" borderId="0" xfId="49" applyFont="1" applyFill="1">
      <alignment vertical="center"/>
    </xf>
    <xf numFmtId="0" fontId="50" fillId="31" borderId="0" xfId="49" applyFont="1" applyFill="1">
      <alignment vertical="center"/>
    </xf>
    <xf numFmtId="0" fontId="51" fillId="31" borderId="0" xfId="49" applyFont="1" applyFill="1">
      <alignment vertical="center"/>
    </xf>
    <xf numFmtId="0" fontId="52" fillId="28" borderId="27" xfId="49" applyFont="1" applyFill="1" applyBorder="1" applyAlignment="1">
      <alignment horizontal="center" vertical="center"/>
    </xf>
    <xf numFmtId="0" fontId="47" fillId="31" borderId="0" xfId="49" applyFont="1" applyFill="1" applyAlignment="1">
      <alignment horizontal="center" vertical="center"/>
    </xf>
    <xf numFmtId="14" fontId="33" fillId="0" borderId="27" xfId="50" applyNumberFormat="1" applyFont="1" applyBorder="1" applyAlignment="1">
      <alignment horizontal="center" vertical="center" wrapText="1"/>
    </xf>
    <xf numFmtId="0" fontId="33" fillId="0" borderId="27" xfId="49" applyFont="1" applyBorder="1" applyAlignment="1">
      <alignment horizontal="left" vertical="center" wrapText="1"/>
    </xf>
    <xf numFmtId="0" fontId="47" fillId="0" borderId="0" xfId="49" applyFont="1">
      <alignment vertical="center"/>
    </xf>
    <xf numFmtId="0" fontId="47" fillId="0" borderId="28" xfId="49" applyFont="1" applyBorder="1" applyAlignment="1">
      <alignment horizontal="left" vertical="center" wrapText="1"/>
    </xf>
    <xf numFmtId="14" fontId="33" fillId="0" borderId="28" xfId="50" applyNumberFormat="1" applyFont="1" applyBorder="1" applyAlignment="1">
      <alignment horizontal="center" vertical="center" wrapText="1"/>
    </xf>
    <xf numFmtId="14" fontId="54" fillId="0" borderId="28" xfId="50" applyNumberFormat="1" applyFont="1" applyBorder="1" applyAlignment="1">
      <alignment horizontal="center" vertical="center" wrapText="1"/>
    </xf>
    <xf numFmtId="0" fontId="33" fillId="0" borderId="28" xfId="49" applyFont="1" applyBorder="1" applyAlignment="1">
      <alignment horizontal="left" vertical="center" wrapText="1"/>
    </xf>
    <xf numFmtId="0" fontId="47" fillId="31" borderId="29" xfId="49" applyFont="1" applyFill="1" applyBorder="1">
      <alignment vertical="center"/>
    </xf>
    <xf numFmtId="0" fontId="52" fillId="28" borderId="10" xfId="49" applyFont="1" applyFill="1" applyBorder="1" applyAlignment="1">
      <alignment horizontal="center" vertical="center"/>
    </xf>
    <xf numFmtId="0" fontId="52" fillId="28" borderId="12" xfId="49" applyFont="1" applyFill="1" applyBorder="1" applyAlignment="1">
      <alignment horizontal="center" vertical="center"/>
    </xf>
    <xf numFmtId="0" fontId="52" fillId="0" borderId="10" xfId="49" applyFont="1" applyBorder="1" applyAlignment="1">
      <alignment horizontal="left" vertical="center" wrapText="1"/>
    </xf>
    <xf numFmtId="14" fontId="33" fillId="0" borderId="10" xfId="50" applyNumberFormat="1" applyFont="1" applyBorder="1" applyAlignment="1">
      <alignment horizontal="center" vertical="center" wrapText="1"/>
    </xf>
    <xf numFmtId="0" fontId="33" fillId="0" borderId="10" xfId="49" applyFont="1" applyBorder="1" applyAlignment="1">
      <alignment horizontal="left" vertical="center" wrapText="1"/>
    </xf>
    <xf numFmtId="0" fontId="52" fillId="0" borderId="10" xfId="49" applyFont="1" applyBorder="1" applyAlignment="1">
      <alignment horizontal="left" vertical="center"/>
    </xf>
    <xf numFmtId="14" fontId="33" fillId="0" borderId="10" xfId="50" quotePrefix="1" applyNumberFormat="1" applyFont="1" applyBorder="1" applyAlignment="1">
      <alignment horizontal="center" vertical="center" wrapText="1"/>
    </xf>
    <xf numFmtId="0" fontId="47" fillId="0" borderId="10" xfId="49" applyFont="1" applyBorder="1" applyAlignment="1">
      <alignment vertical="center" wrapText="1"/>
    </xf>
    <xf numFmtId="3" fontId="52" fillId="0" borderId="10" xfId="49" applyNumberFormat="1" applyFont="1" applyBorder="1" applyAlignment="1">
      <alignment horizontal="center" vertical="center"/>
    </xf>
    <xf numFmtId="0" fontId="52" fillId="0" borderId="10" xfId="49" applyFont="1" applyBorder="1" applyAlignment="1">
      <alignment horizontal="center" vertical="center" wrapText="1"/>
    </xf>
    <xf numFmtId="0" fontId="47" fillId="0" borderId="0" xfId="49" applyFont="1" applyAlignment="1">
      <alignment horizontal="left" vertical="top"/>
    </xf>
    <xf numFmtId="0" fontId="52" fillId="0" borderId="31" xfId="49" applyFont="1" applyBorder="1" applyAlignment="1">
      <alignment horizontal="left" vertical="center"/>
    </xf>
    <xf numFmtId="14" fontId="33" fillId="0" borderId="32" xfId="50" applyNumberFormat="1" applyFont="1" applyBorder="1" applyAlignment="1">
      <alignment horizontal="center" vertical="center" wrapText="1"/>
    </xf>
    <xf numFmtId="0" fontId="47" fillId="0" borderId="33" xfId="49" applyFont="1" applyBorder="1" applyAlignment="1">
      <alignment vertical="center" wrapText="1"/>
    </xf>
    <xf numFmtId="0" fontId="47" fillId="31" borderId="35" xfId="49" applyFont="1" applyFill="1" applyBorder="1">
      <alignment vertical="center"/>
    </xf>
    <xf numFmtId="0" fontId="47" fillId="0" borderId="34" xfId="49" applyFont="1" applyBorder="1" applyAlignment="1">
      <alignment horizontal="left" vertical="top"/>
    </xf>
    <xf numFmtId="0" fontId="52" fillId="0" borderId="10" xfId="49" applyFont="1" applyBorder="1" applyAlignment="1">
      <alignment horizontal="center" vertical="center"/>
    </xf>
    <xf numFmtId="0" fontId="50" fillId="31" borderId="36" xfId="49" applyFont="1" applyFill="1" applyBorder="1">
      <alignment vertical="center"/>
    </xf>
    <xf numFmtId="0" fontId="41" fillId="25" borderId="10" xfId="0" applyFont="1" applyFill="1" applyBorder="1" applyAlignment="1">
      <alignment horizontal="center" vertical="center" wrapText="1"/>
    </xf>
    <xf numFmtId="0" fontId="55" fillId="0" borderId="10" xfId="0" applyFont="1" applyBorder="1" applyAlignment="1">
      <alignment horizontal="left" vertical="center" wrapText="1"/>
    </xf>
    <xf numFmtId="0" fontId="55" fillId="0" borderId="10" xfId="0" applyFont="1" applyBorder="1" applyAlignment="1">
      <alignment horizontal="center" vertical="center" wrapText="1"/>
    </xf>
    <xf numFmtId="0" fontId="40" fillId="0" borderId="10" xfId="0" applyFont="1" applyBorder="1">
      <alignment vertical="center"/>
    </xf>
    <xf numFmtId="0" fontId="39" fillId="0" borderId="12" xfId="0" applyFont="1" applyBorder="1" applyAlignment="1">
      <alignment horizontal="left" vertical="center" wrapText="1"/>
    </xf>
    <xf numFmtId="0" fontId="55" fillId="0" borderId="12" xfId="0" applyFont="1" applyBorder="1" applyAlignment="1">
      <alignment horizontal="center" vertical="center" wrapText="1"/>
    </xf>
    <xf numFmtId="0" fontId="39" fillId="0" borderId="14" xfId="0" applyFont="1" applyBorder="1" applyAlignment="1">
      <alignment horizontal="left" vertical="center" wrapText="1"/>
    </xf>
    <xf numFmtId="0" fontId="57" fillId="0" borderId="10" xfId="0" applyFont="1" applyBorder="1" applyAlignment="1">
      <alignment horizontal="left" vertical="center" wrapText="1"/>
    </xf>
    <xf numFmtId="0" fontId="57" fillId="0" borderId="10" xfId="0" quotePrefix="1" applyFont="1" applyBorder="1" applyAlignment="1">
      <alignment horizontal="left" vertical="center" wrapText="1"/>
    </xf>
    <xf numFmtId="0" fontId="41" fillId="25" borderId="12" xfId="0" applyFont="1" applyFill="1" applyBorder="1" applyAlignment="1">
      <alignment horizontal="center" vertical="center" wrapText="1"/>
    </xf>
    <xf numFmtId="0" fontId="39" fillId="0" borderId="30" xfId="0" applyFont="1" applyBorder="1" applyAlignment="1">
      <alignment horizontal="center" vertical="center" wrapText="1"/>
    </xf>
    <xf numFmtId="0" fontId="55" fillId="0" borderId="10" xfId="0" quotePrefix="1" applyFont="1" applyBorder="1" applyAlignment="1">
      <alignment horizontal="left" vertical="center" wrapText="1"/>
    </xf>
    <xf numFmtId="0" fontId="60" fillId="0" borderId="10" xfId="0" applyFont="1" applyBorder="1" applyAlignment="1">
      <alignment horizontal="left" vertical="center"/>
    </xf>
    <xf numFmtId="0" fontId="60" fillId="0" borderId="10" xfId="0" quotePrefix="1" applyFont="1" applyBorder="1" applyAlignment="1">
      <alignment horizontal="left" vertical="center" wrapText="1"/>
    </xf>
    <xf numFmtId="0" fontId="55" fillId="0" borderId="10" xfId="0" quotePrefix="1" applyFont="1" applyBorder="1" applyAlignment="1">
      <alignment vertical="center" wrapText="1"/>
    </xf>
    <xf numFmtId="0" fontId="60" fillId="0" borderId="10" xfId="0" applyFont="1" applyBorder="1" applyAlignment="1">
      <alignment horizontal="center" vertical="center"/>
    </xf>
    <xf numFmtId="0" fontId="39" fillId="31" borderId="10" xfId="0" quotePrefix="1" applyFont="1" applyFill="1" applyBorder="1" applyAlignment="1">
      <alignment horizontal="left" vertical="center" wrapText="1"/>
    </xf>
    <xf numFmtId="0" fontId="61" fillId="0" borderId="10" xfId="0" quotePrefix="1" applyFont="1" applyBorder="1" applyAlignment="1">
      <alignment horizontal="left" vertical="center" wrapText="1"/>
    </xf>
    <xf numFmtId="0" fontId="39" fillId="31" borderId="10" xfId="0" applyFont="1" applyFill="1" applyBorder="1" applyAlignment="1">
      <alignment horizontal="left" vertical="center" wrapText="1"/>
    </xf>
    <xf numFmtId="0" fontId="39" fillId="0" borderId="10" xfId="0" quotePrefix="1" applyFont="1" applyBorder="1" applyAlignment="1">
      <alignment vertical="center" wrapText="1"/>
    </xf>
    <xf numFmtId="0" fontId="61" fillId="0" borderId="10" xfId="0" quotePrefix="1" applyFont="1" applyBorder="1" applyAlignment="1">
      <alignment horizontal="left" vertical="top" wrapText="1"/>
    </xf>
    <xf numFmtId="0" fontId="61" fillId="0" borderId="10" xfId="0" applyFont="1" applyBorder="1" applyAlignment="1">
      <alignment horizontal="center" vertical="center" wrapText="1"/>
    </xf>
    <xf numFmtId="0" fontId="57" fillId="0" borderId="10" xfId="0" quotePrefix="1" applyFont="1" applyBorder="1" applyAlignment="1">
      <alignment vertical="center" wrapText="1"/>
    </xf>
    <xf numFmtId="0" fontId="2" fillId="0" borderId="0" xfId="46" applyFont="1">
      <alignment vertical="center"/>
    </xf>
    <xf numFmtId="0" fontId="62" fillId="0" borderId="10" xfId="0" applyFont="1" applyBorder="1" applyAlignment="1">
      <alignment horizontal="left" vertical="center" wrapText="1"/>
    </xf>
    <xf numFmtId="0" fontId="62" fillId="0" borderId="10" xfId="0" applyFont="1" applyBorder="1">
      <alignment vertical="center"/>
    </xf>
    <xf numFmtId="0" fontId="63" fillId="0" borderId="10" xfId="0" applyFont="1" applyBorder="1" applyAlignment="1">
      <alignment horizontal="center" vertical="center" wrapText="1"/>
    </xf>
    <xf numFmtId="0" fontId="62" fillId="0" borderId="10" xfId="0" applyFont="1" applyBorder="1" applyAlignment="1">
      <alignment vertical="center" wrapText="1"/>
    </xf>
    <xf numFmtId="0" fontId="64" fillId="0" borderId="10" xfId="0" applyFont="1" applyBorder="1" applyAlignment="1">
      <alignment horizontal="left" vertical="center" wrapText="1"/>
    </xf>
    <xf numFmtId="0" fontId="65" fillId="0" borderId="10" xfId="0" applyFont="1" applyBorder="1" applyAlignment="1">
      <alignment vertical="center" wrapText="1"/>
    </xf>
    <xf numFmtId="0" fontId="39" fillId="0" borderId="10" xfId="0" applyFont="1" applyBorder="1" applyAlignment="1">
      <alignment vertical="center" wrapText="1"/>
    </xf>
    <xf numFmtId="0" fontId="65" fillId="0" borderId="10" xfId="0" applyFont="1" applyBorder="1" applyAlignment="1">
      <alignment horizontal="left" vertical="center" wrapText="1"/>
    </xf>
    <xf numFmtId="0" fontId="65" fillId="0" borderId="10" xfId="0" quotePrefix="1" applyFont="1" applyBorder="1" applyAlignment="1">
      <alignment horizontal="left" vertical="center" wrapText="1"/>
    </xf>
    <xf numFmtId="0" fontId="39" fillId="0" borderId="12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55" fillId="0" borderId="10" xfId="0" applyFont="1" applyFill="1" applyBorder="1" applyAlignment="1">
      <alignment horizontal="center" vertical="center" wrapText="1"/>
    </xf>
    <xf numFmtId="0" fontId="55" fillId="0" borderId="37" xfId="0" applyFont="1" applyBorder="1" applyAlignment="1">
      <alignment horizontal="center" vertical="center" wrapText="1"/>
    </xf>
    <xf numFmtId="0" fontId="36" fillId="0" borderId="10" xfId="44" applyFont="1" applyFill="1" applyBorder="1" applyAlignment="1">
      <alignment horizontal="center" vertical="center" wrapText="1"/>
    </xf>
    <xf numFmtId="0" fontId="33" fillId="0" borderId="10" xfId="44" applyFont="1" applyBorder="1" applyAlignment="1">
      <alignment horizontal="center" vertical="center"/>
    </xf>
    <xf numFmtId="0" fontId="37" fillId="0" borderId="10" xfId="44" applyFont="1" applyBorder="1" applyAlignment="1">
      <alignment horizontal="center" vertical="center" wrapText="1"/>
    </xf>
    <xf numFmtId="0" fontId="38" fillId="0" borderId="0" xfId="45" applyFont="1" applyAlignment="1">
      <alignment horizontal="center"/>
    </xf>
    <xf numFmtId="0" fontId="52" fillId="28" borderId="27" xfId="49" applyFont="1" applyFill="1" applyBorder="1" applyAlignment="1">
      <alignment horizontal="center" vertical="center"/>
    </xf>
    <xf numFmtId="0" fontId="52" fillId="0" borderId="12" xfId="49" applyFont="1" applyBorder="1" applyAlignment="1">
      <alignment horizontal="center" vertical="center" wrapText="1"/>
    </xf>
    <xf numFmtId="0" fontId="52" fillId="0" borderId="11" xfId="49" applyFont="1" applyBorder="1" applyAlignment="1">
      <alignment horizontal="center" vertical="center" wrapText="1"/>
    </xf>
    <xf numFmtId="0" fontId="52" fillId="0" borderId="27" xfId="49" applyFont="1" applyBorder="1" applyAlignment="1">
      <alignment horizontal="center" vertical="center" wrapText="1"/>
    </xf>
    <xf numFmtId="0" fontId="52" fillId="28" borderId="30" xfId="49" applyFont="1" applyFill="1" applyBorder="1" applyAlignment="1">
      <alignment horizontal="center" vertical="center"/>
    </xf>
    <xf numFmtId="0" fontId="52" fillId="28" borderId="14" xfId="49" applyFont="1" applyFill="1" applyBorder="1" applyAlignment="1">
      <alignment horizontal="center" vertical="center"/>
    </xf>
    <xf numFmtId="0" fontId="52" fillId="0" borderId="10" xfId="49" applyFont="1" applyBorder="1" applyAlignment="1">
      <alignment horizontal="center" vertical="center"/>
    </xf>
    <xf numFmtId="0" fontId="52" fillId="0" borderId="12" xfId="49" applyFont="1" applyBorder="1" applyAlignment="1">
      <alignment horizontal="center" vertical="center"/>
    </xf>
    <xf numFmtId="0" fontId="52" fillId="0" borderId="26" xfId="49" applyFont="1" applyBorder="1" applyAlignment="1">
      <alignment horizontal="center" vertical="center"/>
    </xf>
    <xf numFmtId="0" fontId="52" fillId="0" borderId="11" xfId="49" applyFont="1" applyBorder="1" applyAlignment="1">
      <alignment horizontal="center" vertical="center"/>
    </xf>
    <xf numFmtId="0" fontId="47" fillId="31" borderId="34" xfId="49" applyFont="1" applyFill="1" applyBorder="1" applyAlignment="1">
      <alignment horizontal="left" vertical="center"/>
    </xf>
    <xf numFmtId="0" fontId="49" fillId="31" borderId="0" xfId="49" applyFont="1" applyFill="1" applyAlignment="1">
      <alignment horizontal="center" vertical="center"/>
    </xf>
    <xf numFmtId="0" fontId="47" fillId="28" borderId="27" xfId="49" applyFont="1" applyFill="1" applyBorder="1" applyAlignment="1">
      <alignment horizontal="left" vertical="center"/>
    </xf>
    <xf numFmtId="0" fontId="47" fillId="31" borderId="27" xfId="49" applyFont="1" applyFill="1" applyBorder="1" applyAlignment="1">
      <alignment horizontal="left" vertical="center"/>
    </xf>
    <xf numFmtId="0" fontId="36" fillId="0" borderId="19" xfId="47" applyFont="1" applyFill="1" applyBorder="1" applyAlignment="1">
      <alignment horizontal="center" vertical="center" wrapText="1"/>
    </xf>
    <xf numFmtId="0" fontId="36" fillId="0" borderId="21" xfId="47" applyFont="1" applyFill="1" applyBorder="1" applyAlignment="1">
      <alignment horizontal="center" vertical="center" wrapText="1"/>
    </xf>
    <xf numFmtId="0" fontId="36" fillId="0" borderId="22" xfId="47" applyFont="1" applyFill="1" applyBorder="1" applyAlignment="1">
      <alignment horizontal="center" vertical="center" wrapText="1"/>
    </xf>
    <xf numFmtId="0" fontId="41" fillId="25" borderId="10" xfId="0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 wrapText="1"/>
    </xf>
    <xf numFmtId="0" fontId="39" fillId="0" borderId="11" xfId="0" applyFont="1" applyBorder="1" applyAlignment="1">
      <alignment horizontal="center" vertical="center" wrapText="1"/>
    </xf>
    <xf numFmtId="0" fontId="39" fillId="0" borderId="26" xfId="0" applyFont="1" applyBorder="1" applyAlignment="1">
      <alignment horizontal="center" vertical="center" wrapText="1"/>
    </xf>
    <xf numFmtId="0" fontId="55" fillId="0" borderId="12" xfId="0" applyFont="1" applyBorder="1" applyAlignment="1">
      <alignment horizontal="center" vertical="center" wrapText="1"/>
    </xf>
    <xf numFmtId="0" fontId="55" fillId="0" borderId="11" xfId="0" applyFont="1" applyBorder="1" applyAlignment="1">
      <alignment horizontal="center" vertical="center" wrapText="1"/>
    </xf>
    <xf numFmtId="0" fontId="55" fillId="0" borderId="26" xfId="0" applyFont="1" applyBorder="1" applyAlignment="1">
      <alignment horizontal="center" vertical="center" wrapText="1"/>
    </xf>
    <xf numFmtId="0" fontId="39" fillId="0" borderId="12" xfId="0" quotePrefix="1" applyFont="1" applyBorder="1" applyAlignment="1">
      <alignment horizontal="center" vertical="center" wrapText="1"/>
    </xf>
    <xf numFmtId="0" fontId="39" fillId="0" borderId="26" xfId="0" quotePrefix="1" applyFont="1" applyBorder="1" applyAlignment="1">
      <alignment horizontal="center" vertical="center" wrapText="1"/>
    </xf>
    <xf numFmtId="0" fontId="39" fillId="0" borderId="11" xfId="0" quotePrefix="1" applyFont="1" applyBorder="1" applyAlignment="1">
      <alignment horizontal="center" vertical="center" wrapText="1"/>
    </xf>
    <xf numFmtId="0" fontId="55" fillId="0" borderId="13" xfId="0" applyFont="1" applyBorder="1" applyAlignment="1">
      <alignment horizontal="center" vertical="center" wrapText="1"/>
    </xf>
    <xf numFmtId="0" fontId="55" fillId="0" borderId="39" xfId="0" applyFont="1" applyBorder="1" applyAlignment="1">
      <alignment horizontal="center" vertical="center" wrapText="1"/>
    </xf>
    <xf numFmtId="0" fontId="55" fillId="0" borderId="38" xfId="0" applyFont="1" applyBorder="1" applyAlignment="1">
      <alignment horizontal="center" vertical="center" wrapText="1"/>
    </xf>
    <xf numFmtId="0" fontId="55" fillId="0" borderId="37" xfId="0" applyFont="1" applyBorder="1" applyAlignment="1">
      <alignment horizontal="center" vertical="center" wrapText="1"/>
    </xf>
    <xf numFmtId="0" fontId="41" fillId="25" borderId="12" xfId="0" applyFont="1" applyFill="1" applyBorder="1" applyAlignment="1">
      <alignment horizontal="center" vertical="center" wrapText="1"/>
    </xf>
  </cellXfs>
  <cellStyles count="51">
    <cellStyle name="_과업대비표" xfId="1" xr:uid="{00000000-0005-0000-0000-000000000000}"/>
    <cellStyle name="20% - 강조색1" xfId="2" builtinId="30" customBuiltin="1"/>
    <cellStyle name="20% - 강조색2" xfId="3" builtinId="34" customBuiltin="1"/>
    <cellStyle name="20% - 강조색3" xfId="4" builtinId="38" customBuiltin="1"/>
    <cellStyle name="20% - 강조색4" xfId="5" builtinId="42" customBuiltin="1"/>
    <cellStyle name="20% - 강조색5" xfId="6" builtinId="46" customBuiltin="1"/>
    <cellStyle name="20% - 강조색6" xfId="7" builtinId="50" customBuiltin="1"/>
    <cellStyle name="40% - 강조색1" xfId="8" builtinId="31" customBuiltin="1"/>
    <cellStyle name="40% - 강조색2" xfId="9" builtinId="35" customBuiltin="1"/>
    <cellStyle name="40% - 강조색3" xfId="10" builtinId="39" customBuiltin="1"/>
    <cellStyle name="40% - 강조색4" xfId="11" builtinId="43" customBuiltin="1"/>
    <cellStyle name="40% - 강조색5" xfId="12" builtinId="47" customBuiltin="1"/>
    <cellStyle name="40% - 강조색6" xfId="13" builtinId="51" customBuiltin="1"/>
    <cellStyle name="60% - 강조색1" xfId="14" builtinId="32" customBuiltin="1"/>
    <cellStyle name="60% - 강조색2" xfId="15" builtinId="36" customBuiltin="1"/>
    <cellStyle name="60% - 강조색3" xfId="16" builtinId="40" customBuiltin="1"/>
    <cellStyle name="60% - 강조색4" xfId="17" builtinId="44" customBuiltin="1"/>
    <cellStyle name="60% - 강조색5" xfId="18" builtinId="48" customBuiltin="1"/>
    <cellStyle name="60% - 강조색6" xfId="19" builtinId="52" customBuiltin="1"/>
    <cellStyle name="강조색1" xfId="20" builtinId="29" customBuiltin="1"/>
    <cellStyle name="강조색2" xfId="21" builtinId="33" customBuiltin="1"/>
    <cellStyle name="강조색3" xfId="22" builtinId="37" customBuiltin="1"/>
    <cellStyle name="강조색4" xfId="23" builtinId="41" customBuiltin="1"/>
    <cellStyle name="강조색5" xfId="24" builtinId="45" customBuiltin="1"/>
    <cellStyle name="강조색6" xfId="25" builtinId="49" customBuiltin="1"/>
    <cellStyle name="경고문" xfId="26" builtinId="11" customBuiltin="1"/>
    <cellStyle name="계산" xfId="27" builtinId="22" customBuiltin="1"/>
    <cellStyle name="나쁨" xfId="28" builtinId="27" customBuiltin="1"/>
    <cellStyle name="메모" xfId="29" builtinId="10" customBuiltin="1"/>
    <cellStyle name="백분율 2" xfId="48" xr:uid="{00000000-0005-0000-0000-00001D000000}"/>
    <cellStyle name="보통" xfId="30" builtinId="28" customBuiltin="1"/>
    <cellStyle name="설명 텍스트" xfId="31" builtinId="53" customBuiltin="1"/>
    <cellStyle name="셀 확인" xfId="32" builtinId="23" customBuiltin="1"/>
    <cellStyle name="스타일 1" xfId="33" xr:uid="{00000000-0005-0000-0000-000021000000}"/>
    <cellStyle name="연결된 셀" xfId="34" builtinId="24" customBuiltin="1"/>
    <cellStyle name="요약" xfId="35" builtinId="25" customBuiltin="1"/>
    <cellStyle name="입력" xfId="36" builtinId="20" customBuiltin="1"/>
    <cellStyle name="제목" xfId="37" builtinId="15" customBuiltin="1"/>
    <cellStyle name="제목 1" xfId="38" builtinId="16" customBuiltin="1"/>
    <cellStyle name="제목 2" xfId="39" builtinId="17" customBuiltin="1"/>
    <cellStyle name="제목 3" xfId="40" builtinId="18" customBuiltin="1"/>
    <cellStyle name="제목 4" xfId="41" builtinId="19" customBuiltin="1"/>
    <cellStyle name="좋음" xfId="42" builtinId="26" customBuiltin="1"/>
    <cellStyle name="출력" xfId="43" builtinId="21" customBuiltin="1"/>
    <cellStyle name="표준" xfId="0" builtinId="0"/>
    <cellStyle name="표준 2" xfId="44" xr:uid="{00000000-0005-0000-0000-00002D000000}"/>
    <cellStyle name="표준 2 2" xfId="50" xr:uid="{00000000-0005-0000-0000-00002E000000}"/>
    <cellStyle name="표준 3" xfId="46" xr:uid="{00000000-0005-0000-0000-00002F000000}"/>
    <cellStyle name="표준 3 2" xfId="47" xr:uid="{00000000-0005-0000-0000-000030000000}"/>
    <cellStyle name="표준 4" xfId="49" xr:uid="{00000000-0005-0000-0000-000031000000}"/>
    <cellStyle name="표준_PM2315_요구사항추적표 v1.0" xfId="45" xr:uid="{00000000-0005-0000-0000-000032000000}"/>
  </cellStyles>
  <dxfs count="142"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  <dxf>
      <font>
        <b val="0"/>
        <i/>
        <strike/>
      </font>
      <fill>
        <patternFill>
          <bgColor theme="0" tint="-0.14996795556505021"/>
        </patternFill>
      </fill>
    </dxf>
    <dxf>
      <font>
        <b/>
        <i/>
      </font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238125</xdr:colOff>
      <xdr:row>17</xdr:row>
      <xdr:rowOff>38100</xdr:rowOff>
    </xdr:from>
    <xdr:to>
      <xdr:col>16</xdr:col>
      <xdr:colOff>190500</xdr:colOff>
      <xdr:row>18</xdr:row>
      <xdr:rowOff>179070</xdr:rowOff>
    </xdr:to>
    <xdr:pic>
      <xdr:nvPicPr>
        <xdr:cNvPr id="1079" name="그림 2">
          <a:extLst>
            <a:ext uri="{FF2B5EF4-FFF2-40B4-BE49-F238E27FC236}">
              <a16:creationId xmlns:a16="http://schemas.microsoft.com/office/drawing/2014/main" id="{00246F8B-9CA7-4138-ABFF-ABAA71D64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5700" y="4676775"/>
          <a:ext cx="15240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20054</xdr:colOff>
      <xdr:row>18</xdr:row>
      <xdr:rowOff>60159</xdr:rowOff>
    </xdr:from>
    <xdr:to>
      <xdr:col>6</xdr:col>
      <xdr:colOff>381000</xdr:colOff>
      <xdr:row>26</xdr:row>
      <xdr:rowOff>86197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5E0C4E1-D734-4EA1-B184-417AA78F5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4" y="4479759"/>
          <a:ext cx="7218946" cy="16967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100264</xdr:colOff>
      <xdr:row>26</xdr:row>
      <xdr:rowOff>190500</xdr:rowOff>
    </xdr:from>
    <xdr:to>
      <xdr:col>6</xdr:col>
      <xdr:colOff>418511</xdr:colOff>
      <xdr:row>28</xdr:row>
      <xdr:rowOff>172198</xdr:rowOff>
    </xdr:to>
    <xdr:sp macro="" textlink="">
      <xdr:nvSpPr>
        <xdr:cNvPr id="4" name="TextBox 11">
          <a:extLst>
            <a:ext uri="{FF2B5EF4-FFF2-40B4-BE49-F238E27FC236}">
              <a16:creationId xmlns:a16="http://schemas.microsoft.com/office/drawing/2014/main" id="{A536DF43-12CE-4673-B71C-AEB6DA1998E0}"/>
            </a:ext>
          </a:extLst>
        </xdr:cNvPr>
        <xdr:cNvSpPr txBox="1"/>
      </xdr:nvSpPr>
      <xdr:spPr>
        <a:xfrm>
          <a:off x="100264" y="6306553"/>
          <a:ext cx="7176247" cy="40280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Optima" pitchFamily="2" charset="2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Optima" pitchFamily="2" charset="2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Optima" pitchFamily="2" charset="2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Optima" pitchFamily="2" charset="2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Optima" pitchFamily="2" charset="2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1200" kern="1200">
              <a:solidFill>
                <a:schemeClr val="tx1"/>
              </a:solidFill>
              <a:latin typeface="Optima" pitchFamily="2" charset="2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1200" kern="1200">
              <a:solidFill>
                <a:schemeClr val="tx1"/>
              </a:solidFill>
              <a:latin typeface="Optima" pitchFamily="2" charset="2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1200" kern="1200">
              <a:solidFill>
                <a:schemeClr val="tx1"/>
              </a:solidFill>
              <a:latin typeface="Optima" pitchFamily="2" charset="2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1200" kern="1200">
              <a:solidFill>
                <a:schemeClr val="tx1"/>
              </a:solidFill>
              <a:latin typeface="Optima" pitchFamily="2" charset="2"/>
              <a:ea typeface="굴림" pitchFamily="50" charset="-127"/>
              <a:cs typeface="+mn-cs"/>
            </a:defRPr>
          </a:lvl9pPr>
        </a:lstStyle>
        <a:p>
          <a:r>
            <a:rPr lang="en-US" altLang="ko-KR" sz="1400" b="1">
              <a:latin typeface="맑은 고딕" panose="020B0503020000020004" pitchFamily="50" charset="-127"/>
              <a:ea typeface="맑은 고딕" panose="020B0503020000020004" pitchFamily="50" charset="-127"/>
            </a:rPr>
            <a:t>※  </a:t>
          </a:r>
          <a:r>
            <a:rPr lang="ko-KR" altLang="en-US" sz="1400" b="1">
              <a:latin typeface="맑은 고딕" panose="020B0503020000020004" pitchFamily="50" charset="-127"/>
              <a:ea typeface="맑은 고딕" panose="020B0503020000020004" pitchFamily="50" charset="-127"/>
            </a:rPr>
            <a:t>적합율 </a:t>
          </a:r>
          <a:r>
            <a:rPr lang="en-US" altLang="ko-KR" sz="1400" b="1">
              <a:latin typeface="맑은 고딕" panose="020B0503020000020004" pitchFamily="50" charset="-127"/>
              <a:ea typeface="맑은 고딕" panose="020B0503020000020004" pitchFamily="50" charset="-127"/>
            </a:rPr>
            <a:t>: (</a:t>
          </a:r>
          <a:r>
            <a:rPr lang="ko-KR" altLang="en-US" sz="1400" b="1">
              <a:latin typeface="맑은 고딕" panose="020B0503020000020004" pitchFamily="50" charset="-127"/>
              <a:ea typeface="맑은 고딕" panose="020B0503020000020004" pitchFamily="50" charset="-127"/>
            </a:rPr>
            <a:t>적합건수</a:t>
          </a:r>
          <a:r>
            <a:rPr lang="en-US" altLang="ko-KR" sz="1400" b="1">
              <a:latin typeface="맑은 고딕" panose="020B0503020000020004" pitchFamily="50" charset="-127"/>
              <a:ea typeface="맑은 고딕" panose="020B0503020000020004" pitchFamily="50" charset="-127"/>
            </a:rPr>
            <a:t> + (</a:t>
          </a:r>
          <a:r>
            <a:rPr lang="ko-KR" altLang="en-US" sz="1400" b="1">
              <a:latin typeface="맑은 고딕" panose="020B0503020000020004" pitchFamily="50" charset="-127"/>
              <a:ea typeface="맑은 고딕" panose="020B0503020000020004" pitchFamily="50" charset="-127"/>
            </a:rPr>
            <a:t>일부적합건수</a:t>
          </a:r>
          <a:r>
            <a:rPr lang="en-US" altLang="ko-KR" sz="1400" b="1">
              <a:latin typeface="맑은 고딕" panose="020B0503020000020004" pitchFamily="50" charset="-127"/>
              <a:ea typeface="맑은 고딕" panose="020B0503020000020004" pitchFamily="50" charset="-127"/>
            </a:rPr>
            <a:t>*</a:t>
          </a:r>
          <a:r>
            <a:rPr lang="ko-KR" altLang="en-US" sz="1400" b="1">
              <a:latin typeface="맑은 고딕" panose="020B0503020000020004" pitchFamily="50" charset="-127"/>
              <a:ea typeface="맑은 고딕" panose="020B0503020000020004" pitchFamily="50" charset="-127"/>
            </a:rPr>
            <a:t>가중치</a:t>
          </a:r>
          <a:r>
            <a:rPr lang="en-US" altLang="ko-KR" sz="1400" b="1">
              <a:latin typeface="맑은 고딕" panose="020B0503020000020004" pitchFamily="50" charset="-127"/>
              <a:ea typeface="맑은 고딕" panose="020B0503020000020004" pitchFamily="50" charset="-127"/>
            </a:rPr>
            <a:t>)) / </a:t>
          </a:r>
          <a:r>
            <a:rPr lang="ko-KR" altLang="en-US" sz="1400" b="1">
              <a:latin typeface="맑은 고딕" panose="020B0503020000020004" pitchFamily="50" charset="-127"/>
              <a:ea typeface="맑은 고딕" panose="020B0503020000020004" pitchFamily="50" charset="-127"/>
            </a:rPr>
            <a:t>점검대상 항목수 </a:t>
          </a:r>
          <a:r>
            <a:rPr lang="en-US" altLang="ko-KR" sz="1400" b="1">
              <a:latin typeface="맑은 고딕" panose="020B0503020000020004" pitchFamily="50" charset="-127"/>
              <a:ea typeface="맑은 고딕" panose="020B0503020000020004" pitchFamily="50" charset="-127"/>
            </a:rPr>
            <a:t>* 100%</a:t>
          </a:r>
          <a:endParaRPr lang="ko-KR" altLang="en-US" sz="1400" b="1"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100263</xdr:colOff>
      <xdr:row>29</xdr:row>
      <xdr:rowOff>1</xdr:rowOff>
    </xdr:from>
    <xdr:to>
      <xdr:col>8</xdr:col>
      <xdr:colOff>872289</xdr:colOff>
      <xdr:row>34</xdr:row>
      <xdr:rowOff>40106</xdr:rowOff>
    </xdr:to>
    <xdr:sp macro="" textlink="">
      <xdr:nvSpPr>
        <xdr:cNvPr id="5" name="Rectangle 44">
          <a:extLst>
            <a:ext uri="{FF2B5EF4-FFF2-40B4-BE49-F238E27FC236}">
              <a16:creationId xmlns:a16="http://schemas.microsoft.com/office/drawing/2014/main" id="{1E53AF73-471B-4C37-B3D2-E8D28E2AE2C7}"/>
            </a:ext>
          </a:extLst>
        </xdr:cNvPr>
        <xdr:cNvSpPr>
          <a:spLocks noChangeArrowheads="1"/>
        </xdr:cNvSpPr>
      </xdr:nvSpPr>
      <xdr:spPr bwMode="auto">
        <a:xfrm>
          <a:off x="100263" y="6747712"/>
          <a:ext cx="9916026" cy="10928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tIns="0" bIns="36000" anchor="t">
          <a:noAutofit/>
        </a:bodyPr>
        <a:lstStyle>
          <a:defPPr>
            <a:defRPr lang="en-US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Optima" pitchFamily="2" charset="2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Optima" pitchFamily="2" charset="2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Optima" pitchFamily="2" charset="2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Optima" pitchFamily="2" charset="2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Optima" pitchFamily="2" charset="2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1200" kern="1200">
              <a:solidFill>
                <a:schemeClr val="tx1"/>
              </a:solidFill>
              <a:latin typeface="Optima" pitchFamily="2" charset="2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1200" kern="1200">
              <a:solidFill>
                <a:schemeClr val="tx1"/>
              </a:solidFill>
              <a:latin typeface="Optima" pitchFamily="2" charset="2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1200" kern="1200">
              <a:solidFill>
                <a:schemeClr val="tx1"/>
              </a:solidFill>
              <a:latin typeface="Optima" pitchFamily="2" charset="2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1200" kern="1200">
              <a:solidFill>
                <a:schemeClr val="tx1"/>
              </a:solidFill>
              <a:latin typeface="Optima" pitchFamily="2" charset="2"/>
              <a:ea typeface="굴림" pitchFamily="50" charset="-127"/>
              <a:cs typeface="+mn-cs"/>
            </a:defRPr>
          </a:lvl9pPr>
        </a:lstStyle>
        <a:p>
          <a:pPr marL="285750" indent="-285750" fontAlgn="ctr" latinLnBrk="0">
            <a:lnSpc>
              <a:spcPct val="100000"/>
            </a:lnSpc>
            <a:spcBef>
              <a:spcPct val="20000"/>
            </a:spcBef>
            <a:buFont typeface="Wingdings" pitchFamily="2" charset="2"/>
            <a:buChar char="Ø"/>
            <a:tabLst>
              <a:tab pos="5648325" algn="l"/>
            </a:tabLst>
            <a:defRPr/>
          </a:pPr>
          <a:r>
            <a:rPr lang="ko-KR" altLang="en-US" sz="1400" b="1" spc="-5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점검결과의 등급이 보통 이상</a:t>
          </a:r>
          <a:r>
            <a:rPr lang="en-US" altLang="ko-KR" sz="1400" b="1" spc="-5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(</a:t>
          </a:r>
          <a:r>
            <a:rPr lang="ko-KR" altLang="en-US" sz="1400" b="1" spc="-5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적정</a:t>
          </a:r>
          <a:r>
            <a:rPr lang="en-US" altLang="ko-KR" sz="1400" b="1" spc="-5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, </a:t>
          </a:r>
          <a:r>
            <a:rPr lang="ko-KR" altLang="en-US" sz="1400" b="1" spc="-5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보통</a:t>
          </a:r>
          <a:r>
            <a:rPr lang="en-US" altLang="ko-KR" sz="1400" b="1" spc="-5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)</a:t>
          </a:r>
          <a:r>
            <a:rPr lang="ko-KR" altLang="en-US" sz="1400" b="1" spc="-5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에 해당되지 않을 경우 보통 이상의 등급이 될 때 까지 체크리스트의 항목을 조치해야만 한다</a:t>
          </a:r>
          <a:r>
            <a:rPr lang="en-US" altLang="ko-KR" sz="1400" b="1" spc="-5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.</a:t>
          </a:r>
        </a:p>
        <a:p>
          <a:pPr marL="285750" indent="-285750" fontAlgn="ctr" latinLnBrk="0">
            <a:lnSpc>
              <a:spcPct val="100000"/>
            </a:lnSpc>
            <a:spcBef>
              <a:spcPct val="20000"/>
            </a:spcBef>
            <a:buFont typeface="Wingdings" pitchFamily="2" charset="2"/>
            <a:buChar char="Ø"/>
            <a:tabLst>
              <a:tab pos="5648325" algn="l"/>
            </a:tabLst>
            <a:defRPr/>
          </a:pPr>
          <a:r>
            <a:rPr lang="ko-KR" altLang="en-US" sz="1400" b="1" spc="-5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체크리스트에서 필수로 지정된 항목이 부적합인 경우에는 일부적합 이상의 결과가 될 때 까지 해당 항목을 조치해야만 한다</a:t>
          </a:r>
          <a:r>
            <a:rPr lang="en-US" altLang="ko-KR" sz="1400" b="1" spc="-5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E4:V16"/>
  <sheetViews>
    <sheetView showGridLines="0" zoomScaleNormal="100" workbookViewId="0">
      <selection activeCell="O26" sqref="O26"/>
    </sheetView>
  </sheetViews>
  <sheetFormatPr defaultColWidth="8.88671875" defaultRowHeight="16.5"/>
  <cols>
    <col min="1" max="6" width="3.6640625" style="2" customWidth="1"/>
    <col min="7" max="7" width="3.6640625" style="3" customWidth="1"/>
    <col min="8" max="31" width="3.6640625" style="2" customWidth="1"/>
    <col min="32" max="16384" width="8.88671875" style="2"/>
  </cols>
  <sheetData>
    <row r="4" spans="5:22" ht="26.25">
      <c r="O4" s="4"/>
    </row>
    <row r="5" spans="5:22" ht="23.25" customHeight="1">
      <c r="O5" s="3"/>
    </row>
    <row r="6" spans="5:22" ht="39">
      <c r="O6" s="5" t="s">
        <v>30</v>
      </c>
      <c r="P6" s="5"/>
    </row>
    <row r="7" spans="5:22" ht="27" customHeight="1">
      <c r="O7" s="3"/>
    </row>
    <row r="8" spans="5:22" ht="22.5" customHeight="1">
      <c r="O8" s="4" t="s">
        <v>231</v>
      </c>
    </row>
    <row r="9" spans="5:22" ht="24.75" customHeight="1">
      <c r="O9" s="4"/>
    </row>
    <row r="10" spans="5:22" ht="26.25">
      <c r="O10" s="6" t="s">
        <v>224</v>
      </c>
    </row>
    <row r="12" spans="5:22" ht="18.75" customHeight="1">
      <c r="E12" s="7"/>
      <c r="F12" s="7"/>
      <c r="G12" s="7"/>
      <c r="H12" s="121" t="s">
        <v>21</v>
      </c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</row>
    <row r="13" spans="5:22" ht="18.75" customHeight="1">
      <c r="E13" s="8"/>
      <c r="F13" s="8"/>
      <c r="G13" s="8"/>
      <c r="H13" s="122"/>
      <c r="I13" s="122"/>
      <c r="J13" s="122"/>
      <c r="K13" s="122" t="s">
        <v>31</v>
      </c>
      <c r="L13" s="122"/>
      <c r="M13" s="122"/>
      <c r="N13" s="122"/>
      <c r="O13" s="123" t="s">
        <v>22</v>
      </c>
      <c r="P13" s="123"/>
      <c r="Q13" s="123"/>
      <c r="R13" s="123"/>
      <c r="S13" s="122" t="s">
        <v>23</v>
      </c>
      <c r="T13" s="122"/>
      <c r="U13" s="122"/>
      <c r="V13" s="122"/>
    </row>
    <row r="14" spans="5:22" ht="18.75" customHeight="1">
      <c r="E14" s="8"/>
      <c r="F14" s="8"/>
      <c r="G14" s="8"/>
      <c r="H14" s="122" t="s">
        <v>24</v>
      </c>
      <c r="I14" s="122"/>
      <c r="J14" s="122"/>
      <c r="K14" s="122"/>
      <c r="L14" s="122"/>
      <c r="M14" s="122"/>
      <c r="N14" s="122"/>
      <c r="O14" s="123"/>
      <c r="P14" s="123"/>
      <c r="Q14" s="123"/>
      <c r="R14" s="123"/>
      <c r="S14" s="122"/>
      <c r="T14" s="122"/>
      <c r="U14" s="122"/>
      <c r="V14" s="122"/>
    </row>
    <row r="15" spans="5:22" ht="18.75" customHeight="1">
      <c r="E15" s="8"/>
      <c r="F15" s="8"/>
      <c r="G15" s="8"/>
      <c r="H15" s="122" t="s">
        <v>34</v>
      </c>
      <c r="I15" s="122"/>
      <c r="J15" s="122"/>
      <c r="K15" s="122"/>
      <c r="L15" s="122"/>
      <c r="M15" s="122"/>
      <c r="N15" s="122"/>
      <c r="O15" s="123"/>
      <c r="P15" s="123"/>
      <c r="Q15" s="123"/>
      <c r="R15" s="123"/>
      <c r="S15" s="122"/>
      <c r="T15" s="122"/>
      <c r="U15" s="122"/>
      <c r="V15" s="122"/>
    </row>
    <row r="16" spans="5:22" ht="18.75" customHeight="1">
      <c r="E16" s="8"/>
      <c r="F16" s="8"/>
      <c r="G16" s="8"/>
      <c r="H16" s="122" t="s">
        <v>25</v>
      </c>
      <c r="I16" s="122"/>
      <c r="J16" s="122"/>
      <c r="K16" s="122"/>
      <c r="L16" s="122"/>
      <c r="M16" s="122"/>
      <c r="N16" s="122"/>
      <c r="O16" s="123"/>
      <c r="P16" s="123"/>
      <c r="Q16" s="123"/>
      <c r="R16" s="123"/>
      <c r="S16" s="122"/>
      <c r="T16" s="122"/>
      <c r="U16" s="122"/>
      <c r="V16" s="122"/>
    </row>
  </sheetData>
  <mergeCells count="17">
    <mergeCell ref="H16:J16"/>
    <mergeCell ref="K16:N16"/>
    <mergeCell ref="S14:V14"/>
    <mergeCell ref="O16:R16"/>
    <mergeCell ref="S16:V16"/>
    <mergeCell ref="H15:J15"/>
    <mergeCell ref="K15:N15"/>
    <mergeCell ref="O15:R15"/>
    <mergeCell ref="S15:V15"/>
    <mergeCell ref="H14:J14"/>
    <mergeCell ref="K14:N14"/>
    <mergeCell ref="O14:R14"/>
    <mergeCell ref="H12:V12"/>
    <mergeCell ref="H13:J13"/>
    <mergeCell ref="K13:N13"/>
    <mergeCell ref="O13:R13"/>
    <mergeCell ref="S13:V13"/>
  </mergeCells>
  <phoneticPr fontId="11" type="noConversion"/>
  <pageMargins left="0.74803149606299213" right="0.74803149606299213" top="0.59055118110236227" bottom="0.98425196850393704" header="0.51181102362204722" footer="0.51181102362204722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21"/>
  <sheetViews>
    <sheetView showGridLines="0" zoomScaleNormal="100" workbookViewId="0">
      <selection activeCell="E12" sqref="E12"/>
    </sheetView>
  </sheetViews>
  <sheetFormatPr defaultColWidth="8.88671875" defaultRowHeight="16.5"/>
  <cols>
    <col min="1" max="1" width="5.5546875" style="9" customWidth="1"/>
    <col min="2" max="2" width="7" style="9" customWidth="1"/>
    <col min="3" max="3" width="49.6640625" style="43" customWidth="1"/>
    <col min="4" max="7" width="10.88671875" style="9" customWidth="1"/>
    <col min="8" max="8" width="4.88671875" style="9" customWidth="1"/>
    <col min="9" max="16384" width="8.88671875" style="9"/>
  </cols>
  <sheetData>
    <row r="2" spans="1:8" ht="20.25">
      <c r="A2" s="124" t="s">
        <v>32</v>
      </c>
      <c r="B2" s="124"/>
      <c r="C2" s="124"/>
      <c r="D2" s="124"/>
      <c r="E2" s="124"/>
      <c r="F2" s="124"/>
      <c r="G2" s="124"/>
      <c r="H2" s="124"/>
    </row>
    <row r="3" spans="1:8" ht="9" customHeight="1">
      <c r="C3" s="40"/>
    </row>
    <row r="4" spans="1:8" ht="24" customHeight="1">
      <c r="B4" s="10" t="s">
        <v>6</v>
      </c>
      <c r="C4" s="41" t="s">
        <v>33</v>
      </c>
      <c r="D4" s="10" t="s">
        <v>7</v>
      </c>
      <c r="E4" s="10" t="s">
        <v>8</v>
      </c>
      <c r="F4" s="10" t="s">
        <v>9</v>
      </c>
      <c r="G4" s="10" t="s">
        <v>10</v>
      </c>
    </row>
    <row r="5" spans="1:8" ht="24" customHeight="1">
      <c r="B5" s="39" t="s">
        <v>227</v>
      </c>
      <c r="C5" s="42" t="s">
        <v>11</v>
      </c>
      <c r="D5" s="51" t="s">
        <v>228</v>
      </c>
      <c r="E5" s="11" t="s">
        <v>225</v>
      </c>
      <c r="F5" s="11"/>
      <c r="G5" s="11"/>
    </row>
    <row r="6" spans="1:8" ht="24" customHeight="1">
      <c r="B6" s="39" t="s">
        <v>271</v>
      </c>
      <c r="C6" s="42" t="s">
        <v>272</v>
      </c>
      <c r="D6" s="11" t="s">
        <v>273</v>
      </c>
      <c r="E6" s="11" t="s">
        <v>274</v>
      </c>
      <c r="F6" s="11"/>
      <c r="G6" s="11"/>
    </row>
    <row r="7" spans="1:8" ht="24" customHeight="1">
      <c r="B7" s="39" t="s">
        <v>275</v>
      </c>
      <c r="C7" s="42" t="s">
        <v>276</v>
      </c>
      <c r="D7" s="11" t="s">
        <v>277</v>
      </c>
      <c r="E7" s="11" t="s">
        <v>278</v>
      </c>
      <c r="F7" s="11"/>
      <c r="G7" s="11"/>
    </row>
    <row r="8" spans="1:8" ht="24" customHeight="1">
      <c r="B8" s="39" t="s">
        <v>293</v>
      </c>
      <c r="C8" s="42" t="s">
        <v>294</v>
      </c>
      <c r="D8" s="11" t="s">
        <v>295</v>
      </c>
      <c r="E8" s="11" t="s">
        <v>278</v>
      </c>
      <c r="F8" s="11"/>
      <c r="G8" s="11"/>
    </row>
    <row r="9" spans="1:8" ht="24" customHeight="1">
      <c r="B9" s="39"/>
      <c r="C9" s="42"/>
      <c r="D9" s="11"/>
      <c r="E9" s="11"/>
      <c r="F9" s="11"/>
      <c r="G9" s="11"/>
    </row>
    <row r="10" spans="1:8" ht="24" customHeight="1">
      <c r="B10" s="39"/>
      <c r="C10" s="42"/>
      <c r="D10" s="11"/>
      <c r="E10" s="11"/>
      <c r="F10" s="11"/>
      <c r="G10" s="11"/>
    </row>
    <row r="11" spans="1:8" ht="24" customHeight="1">
      <c r="B11" s="39"/>
      <c r="C11" s="42"/>
      <c r="D11" s="11"/>
      <c r="E11" s="11"/>
      <c r="F11" s="11"/>
      <c r="G11" s="11"/>
    </row>
    <row r="12" spans="1:8" ht="24" customHeight="1">
      <c r="B12" s="39"/>
      <c r="C12" s="42"/>
      <c r="D12" s="11"/>
      <c r="E12" s="11"/>
      <c r="F12" s="11"/>
      <c r="G12" s="11"/>
    </row>
    <row r="13" spans="1:8" ht="24" customHeight="1">
      <c r="B13" s="18"/>
      <c r="C13" s="42"/>
      <c r="D13" s="11"/>
      <c r="E13" s="11"/>
      <c r="F13" s="11"/>
      <c r="G13" s="11"/>
    </row>
    <row r="14" spans="1:8" ht="24" customHeight="1">
      <c r="B14" s="18"/>
      <c r="C14" s="42"/>
      <c r="D14" s="51"/>
      <c r="E14" s="11"/>
      <c r="F14" s="11"/>
      <c r="G14" s="11"/>
    </row>
    <row r="15" spans="1:8" ht="24" customHeight="1">
      <c r="B15" s="18"/>
      <c r="C15" s="42"/>
      <c r="D15" s="11"/>
      <c r="E15" s="11"/>
      <c r="F15" s="11"/>
      <c r="G15" s="11"/>
    </row>
    <row r="16" spans="1:8" ht="24" customHeight="1">
      <c r="B16" s="18"/>
      <c r="C16" s="42"/>
      <c r="D16" s="11"/>
      <c r="E16" s="11"/>
      <c r="F16" s="11"/>
      <c r="G16" s="11"/>
    </row>
    <row r="17" spans="2:7" ht="24" customHeight="1">
      <c r="B17" s="18"/>
      <c r="C17" s="42"/>
      <c r="D17" s="11"/>
      <c r="E17" s="11"/>
      <c r="F17" s="11"/>
      <c r="G17" s="11"/>
    </row>
    <row r="18" spans="2:7" ht="24" customHeight="1">
      <c r="B18" s="18"/>
      <c r="C18" s="42"/>
      <c r="D18" s="11"/>
      <c r="E18" s="11"/>
      <c r="F18" s="11"/>
      <c r="G18" s="11"/>
    </row>
    <row r="19" spans="2:7" ht="24" customHeight="1">
      <c r="B19" s="18"/>
      <c r="C19" s="42"/>
      <c r="D19" s="11"/>
      <c r="E19" s="11"/>
      <c r="F19" s="11"/>
      <c r="G19" s="11"/>
    </row>
    <row r="20" spans="2:7" ht="24" customHeight="1">
      <c r="B20" s="18"/>
      <c r="C20" s="42"/>
      <c r="D20" s="11"/>
      <c r="E20" s="11"/>
      <c r="F20" s="11"/>
      <c r="G20" s="11"/>
    </row>
    <row r="21" spans="2:7" ht="24" customHeight="1">
      <c r="B21" s="18"/>
      <c r="C21" s="42"/>
      <c r="D21" s="11"/>
      <c r="E21" s="11"/>
      <c r="F21" s="11"/>
      <c r="G21" s="11"/>
    </row>
  </sheetData>
  <mergeCells count="1">
    <mergeCell ref="A2:H2"/>
  </mergeCells>
  <phoneticPr fontId="11" type="noConversion"/>
  <pageMargins left="0.74803149606299213" right="0.74803149606299213" top="0.59055118110236227" bottom="0.78740157480314965" header="0.51181102362204722" footer="0.51181102362204722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I50"/>
  <sheetViews>
    <sheetView zoomScale="85" zoomScaleNormal="85" workbookViewId="0">
      <selection activeCell="E5" sqref="E5"/>
    </sheetView>
  </sheetViews>
  <sheetFormatPr defaultColWidth="8.109375" defaultRowHeight="16.5"/>
  <cols>
    <col min="1" max="1" width="14.88671875" style="52" customWidth="1"/>
    <col min="2" max="2" width="22.88671875" style="52" customWidth="1"/>
    <col min="3" max="4" width="15.6640625" style="52" customWidth="1"/>
    <col min="5" max="5" width="40" style="52" customWidth="1"/>
    <col min="6" max="6" width="8.109375" style="52"/>
    <col min="7" max="9" width="15.6640625" style="52" customWidth="1"/>
    <col min="10" max="16384" width="8.109375" style="52"/>
  </cols>
  <sheetData>
    <row r="2" spans="1:5" ht="27.75" customHeight="1">
      <c r="A2" s="136" t="s">
        <v>182</v>
      </c>
      <c r="B2" s="136"/>
      <c r="C2" s="136"/>
      <c r="D2" s="136"/>
      <c r="E2" s="136"/>
    </row>
    <row r="3" spans="1:5" s="53" customFormat="1"/>
    <row r="4" spans="1:5" s="53" customFormat="1" ht="25.15" customHeight="1">
      <c r="A4" s="137" t="s">
        <v>183</v>
      </c>
      <c r="B4" s="137"/>
      <c r="C4" s="138" t="s">
        <v>229</v>
      </c>
      <c r="D4" s="138"/>
    </row>
    <row r="5" spans="1:5" s="53" customFormat="1" ht="25.15" customHeight="1">
      <c r="A5" s="137" t="s">
        <v>184</v>
      </c>
      <c r="B5" s="137"/>
      <c r="C5" s="138" t="s">
        <v>230</v>
      </c>
      <c r="D5" s="138"/>
    </row>
    <row r="6" spans="1:5" s="53" customFormat="1"/>
    <row r="7" spans="1:5" s="53" customFormat="1" ht="17.25">
      <c r="A7" s="54"/>
    </row>
    <row r="8" spans="1:5" s="53" customFormat="1" ht="17.25">
      <c r="A8" s="55" t="s">
        <v>185</v>
      </c>
    </row>
    <row r="9" spans="1:5" s="57" customFormat="1" ht="25.15" customHeight="1">
      <c r="A9" s="125" t="s">
        <v>186</v>
      </c>
      <c r="B9" s="125"/>
      <c r="C9" s="56" t="s">
        <v>187</v>
      </c>
      <c r="D9" s="56" t="s">
        <v>188</v>
      </c>
      <c r="E9" s="56" t="s">
        <v>189</v>
      </c>
    </row>
    <row r="10" spans="1:5" s="53" customFormat="1" ht="34.9" customHeight="1">
      <c r="A10" s="128" t="s">
        <v>190</v>
      </c>
      <c r="B10" s="128"/>
      <c r="C10" s="58">
        <v>43794</v>
      </c>
      <c r="D10" s="58">
        <v>43945</v>
      </c>
      <c r="E10" s="59"/>
    </row>
    <row r="11" spans="1:5" s="53" customFormat="1" ht="39" customHeight="1">
      <c r="A11" s="60"/>
      <c r="B11" s="61"/>
      <c r="C11" s="62"/>
      <c r="D11" s="63"/>
      <c r="E11" s="64"/>
    </row>
    <row r="12" spans="1:5" s="53" customFormat="1" ht="17.25">
      <c r="A12" s="55" t="s">
        <v>191</v>
      </c>
      <c r="D12" s="65"/>
    </row>
    <row r="13" spans="1:5" s="57" customFormat="1" ht="25.15" customHeight="1">
      <c r="A13" s="129" t="s">
        <v>186</v>
      </c>
      <c r="B13" s="130"/>
      <c r="C13" s="66" t="s">
        <v>187</v>
      </c>
      <c r="D13" s="66" t="s">
        <v>188</v>
      </c>
      <c r="E13" s="67" t="s">
        <v>189</v>
      </c>
    </row>
    <row r="14" spans="1:5" s="53" customFormat="1" ht="34.9" customHeight="1">
      <c r="A14" s="131" t="s">
        <v>192</v>
      </c>
      <c r="B14" s="68" t="s">
        <v>193</v>
      </c>
      <c r="C14" s="69">
        <v>43822</v>
      </c>
      <c r="D14" s="69">
        <v>43826</v>
      </c>
      <c r="E14" s="70"/>
    </row>
    <row r="15" spans="1:5" s="53" customFormat="1" ht="34.9" customHeight="1">
      <c r="A15" s="131"/>
      <c r="B15" s="71" t="s">
        <v>194</v>
      </c>
      <c r="C15" s="69">
        <v>43850</v>
      </c>
      <c r="D15" s="69">
        <v>43854</v>
      </c>
      <c r="E15" s="70"/>
    </row>
    <row r="16" spans="1:5" s="53" customFormat="1" ht="34.9" customHeight="1">
      <c r="A16" s="131"/>
      <c r="B16" s="71" t="s">
        <v>195</v>
      </c>
      <c r="C16" s="72">
        <v>43934</v>
      </c>
      <c r="D16" s="72">
        <v>43938</v>
      </c>
      <c r="E16" s="73"/>
    </row>
    <row r="17" spans="1:9" s="53" customFormat="1"/>
    <row r="18" spans="1:9" s="53" customFormat="1" ht="17.25">
      <c r="A18" s="55" t="s">
        <v>196</v>
      </c>
      <c r="G18" s="53" t="s">
        <v>197</v>
      </c>
    </row>
    <row r="19" spans="1:9" s="57" customFormat="1" ht="24" customHeight="1">
      <c r="A19" s="129" t="s">
        <v>186</v>
      </c>
      <c r="B19" s="130"/>
      <c r="C19" s="66" t="s">
        <v>198</v>
      </c>
      <c r="D19" s="66" t="s">
        <v>199</v>
      </c>
      <c r="E19" s="67" t="s">
        <v>189</v>
      </c>
      <c r="G19" s="67" t="s">
        <v>200</v>
      </c>
      <c r="H19" s="67" t="s">
        <v>201</v>
      </c>
      <c r="I19" s="66" t="s">
        <v>202</v>
      </c>
    </row>
    <row r="20" spans="1:9" s="53" customFormat="1" ht="39" customHeight="1">
      <c r="A20" s="132" t="s">
        <v>203</v>
      </c>
      <c r="B20" s="71" t="s">
        <v>204</v>
      </c>
      <c r="C20" s="69" t="s">
        <v>205</v>
      </c>
      <c r="D20" s="69" t="s">
        <v>223</v>
      </c>
      <c r="E20" s="73" t="s">
        <v>226</v>
      </c>
      <c r="G20" s="74" t="s">
        <v>206</v>
      </c>
      <c r="H20" s="74" t="s">
        <v>207</v>
      </c>
      <c r="I20" s="75" t="s">
        <v>208</v>
      </c>
    </row>
    <row r="21" spans="1:9" s="53" customFormat="1" ht="39" customHeight="1">
      <c r="A21" s="133"/>
      <c r="B21" s="68" t="s">
        <v>209</v>
      </c>
      <c r="C21" s="69" t="s">
        <v>220</v>
      </c>
      <c r="D21" s="69" t="s">
        <v>210</v>
      </c>
      <c r="E21" s="73"/>
      <c r="G21" s="76" t="s">
        <v>211</v>
      </c>
    </row>
    <row r="22" spans="1:9" s="53" customFormat="1" ht="39" customHeight="1">
      <c r="A22" s="134"/>
      <c r="B22" s="71" t="s">
        <v>212</v>
      </c>
      <c r="C22" s="69" t="s">
        <v>221</v>
      </c>
      <c r="D22" s="69" t="s">
        <v>222</v>
      </c>
      <c r="E22" s="73"/>
    </row>
    <row r="23" spans="1:9" s="53" customFormat="1" ht="39" customHeight="1">
      <c r="A23" s="76" t="s">
        <v>213</v>
      </c>
      <c r="B23" s="77"/>
      <c r="C23" s="78"/>
      <c r="D23" s="78"/>
      <c r="E23" s="79"/>
    </row>
    <row r="24" spans="1:9" s="53" customFormat="1">
      <c r="A24" s="135"/>
      <c r="B24" s="135"/>
      <c r="C24" s="135"/>
      <c r="D24" s="135"/>
    </row>
    <row r="25" spans="1:9" s="53" customFormat="1" ht="17.25">
      <c r="A25" s="55" t="s">
        <v>214</v>
      </c>
    </row>
    <row r="26" spans="1:9" s="53" customFormat="1" ht="24" customHeight="1">
      <c r="A26" s="125" t="s">
        <v>186</v>
      </c>
      <c r="B26" s="125"/>
      <c r="C26" s="56" t="s">
        <v>187</v>
      </c>
      <c r="D26" s="56" t="s">
        <v>188</v>
      </c>
      <c r="E26" s="56" t="s">
        <v>189</v>
      </c>
      <c r="H26" s="80"/>
    </row>
    <row r="27" spans="1:9" s="53" customFormat="1" ht="39" customHeight="1">
      <c r="A27" s="126" t="s">
        <v>215</v>
      </c>
      <c r="B27" s="75" t="s">
        <v>216</v>
      </c>
      <c r="C27" s="69">
        <v>43857</v>
      </c>
      <c r="D27" s="69">
        <v>43861</v>
      </c>
      <c r="E27" s="73" t="s">
        <v>217</v>
      </c>
      <c r="G27" s="81"/>
    </row>
    <row r="28" spans="1:9" s="53" customFormat="1" ht="39" customHeight="1">
      <c r="A28" s="127"/>
      <c r="B28" s="82" t="s">
        <v>218</v>
      </c>
      <c r="C28" s="72">
        <v>43941</v>
      </c>
      <c r="D28" s="72">
        <v>43944</v>
      </c>
      <c r="E28" s="73" t="s">
        <v>219</v>
      </c>
    </row>
    <row r="29" spans="1:9" s="53" customFormat="1" ht="17.25">
      <c r="A29" s="83"/>
    </row>
    <row r="30" spans="1:9" s="53" customFormat="1"/>
    <row r="31" spans="1:9" s="53" customFormat="1"/>
    <row r="32" spans="1:9" s="53" customFormat="1"/>
    <row r="33" s="53" customFormat="1"/>
    <row r="34" s="53" customFormat="1"/>
    <row r="35" s="53" customFormat="1"/>
    <row r="36" s="53" customFormat="1"/>
    <row r="37" s="53" customFormat="1"/>
    <row r="38" s="53" customFormat="1"/>
    <row r="39" s="53" customFormat="1"/>
    <row r="40" s="53" customFormat="1"/>
    <row r="41" s="53" customFormat="1"/>
    <row r="42" s="53" customFormat="1"/>
    <row r="43" s="53" customFormat="1"/>
    <row r="44" s="53" customFormat="1"/>
    <row r="45" s="53" customFormat="1"/>
    <row r="46" s="53" customFormat="1"/>
    <row r="47" s="53" customFormat="1"/>
    <row r="48" s="53" customFormat="1"/>
    <row r="49" s="53" customFormat="1"/>
    <row r="50" s="53" customFormat="1"/>
  </sheetData>
  <mergeCells count="14">
    <mergeCell ref="A9:B9"/>
    <mergeCell ref="A2:E2"/>
    <mergeCell ref="A4:B4"/>
    <mergeCell ref="C4:D4"/>
    <mergeCell ref="A5:B5"/>
    <mergeCell ref="C5:D5"/>
    <mergeCell ref="A26:B26"/>
    <mergeCell ref="A27:A28"/>
    <mergeCell ref="A10:B10"/>
    <mergeCell ref="A13:B13"/>
    <mergeCell ref="A14:A16"/>
    <mergeCell ref="A19:B19"/>
    <mergeCell ref="A20:A22"/>
    <mergeCell ref="A24:D24"/>
  </mergeCells>
  <phoneticPr fontId="11" type="noConversion"/>
  <pageMargins left="0.7" right="0.7" top="0.75" bottom="0.75" header="0.3" footer="0.3"/>
  <pageSetup paperSize="9" scale="6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28"/>
  <sheetViews>
    <sheetView showGridLines="0" tabSelected="1" zoomScaleNormal="100" workbookViewId="0">
      <selection activeCell="K21" sqref="K21"/>
    </sheetView>
  </sheetViews>
  <sheetFormatPr defaultColWidth="8.88671875" defaultRowHeight="16.5" customHeight="1"/>
  <cols>
    <col min="1" max="1" width="8.88671875" style="14" customWidth="1"/>
    <col min="2" max="2" width="17.77734375" style="14" customWidth="1"/>
    <col min="3" max="9" width="13.33203125" style="14" customWidth="1"/>
    <col min="10" max="10" width="15.77734375" style="14" customWidth="1"/>
    <col min="11" max="16384" width="8.88671875" style="14"/>
  </cols>
  <sheetData>
    <row r="1" spans="1:10" ht="24.75" customHeight="1" thickBot="1">
      <c r="A1" s="17" t="s">
        <v>37</v>
      </c>
      <c r="B1" s="13"/>
      <c r="C1" s="13"/>
      <c r="D1" s="13"/>
      <c r="E1" s="13"/>
      <c r="F1" s="13"/>
      <c r="G1" s="13"/>
      <c r="H1" s="13"/>
      <c r="I1" s="13"/>
      <c r="J1" s="36" t="s">
        <v>140</v>
      </c>
    </row>
    <row r="2" spans="1:10" ht="20.25" customHeight="1" thickBot="1">
      <c r="J2" s="37">
        <v>0.5</v>
      </c>
    </row>
    <row r="3" spans="1:10" ht="15" customHeight="1" thickBot="1">
      <c r="J3" s="49"/>
    </row>
    <row r="4" spans="1:10" ht="16.5" customHeight="1" thickBot="1">
      <c r="A4" s="25" t="s">
        <v>36</v>
      </c>
      <c r="B4" s="26" t="s">
        <v>128</v>
      </c>
      <c r="C4" s="26" t="s">
        <v>129</v>
      </c>
      <c r="D4" s="26" t="s">
        <v>130</v>
      </c>
      <c r="E4" s="26" t="s">
        <v>131</v>
      </c>
      <c r="F4" s="26" t="s">
        <v>132</v>
      </c>
      <c r="G4" s="26" t="s">
        <v>133</v>
      </c>
      <c r="H4" s="26" t="s">
        <v>134</v>
      </c>
      <c r="I4" s="27" t="s">
        <v>135</v>
      </c>
    </row>
    <row r="5" spans="1:10" ht="16.5" customHeight="1">
      <c r="A5" s="140" t="s">
        <v>160</v>
      </c>
      <c r="B5" s="29" t="s">
        <v>159</v>
      </c>
      <c r="C5" s="16">
        <f>COUNT('사업관리 체크리스트'!A3:A22)</f>
        <v>20</v>
      </c>
      <c r="D5" s="19">
        <f>C5-H5</f>
        <v>20</v>
      </c>
      <c r="E5" s="15">
        <f>COUNTIFS('사업관리 체크리스트'!G3:G22,"적합", '사업관리 체크리스트'!H3:H22,"&lt;&gt;N/A")</f>
        <v>20</v>
      </c>
      <c r="F5" s="15">
        <f>COUNTIFS('사업관리 체크리스트'!G3:G22,"일부적합", '사업관리 체크리스트'!H3:H22,"&lt;&gt;N/A")</f>
        <v>0</v>
      </c>
      <c r="G5" s="15">
        <f>COUNTIFS('사업관리 체크리스트'!G3:G22,"부적합", '사업관리 체크리스트'!H3:H22,"&lt;&gt;N/A")</f>
        <v>0</v>
      </c>
      <c r="H5" s="15">
        <f>COUNTIF('사업관리 체크리스트'!H3:H22,"N/A")</f>
        <v>0</v>
      </c>
      <c r="I5" s="28">
        <f t="shared" ref="I5:I6" si="0">IF(D5=0,"-",(E5+(F5*$J$2))/D5)</f>
        <v>1</v>
      </c>
    </row>
    <row r="6" spans="1:10" ht="16.5" customHeight="1" thickBot="1">
      <c r="A6" s="140"/>
      <c r="B6" s="30" t="s">
        <v>168</v>
      </c>
      <c r="C6" s="16">
        <f>COUNT('사업관리 체크리스트'!A23:A35)</f>
        <v>13</v>
      </c>
      <c r="D6" s="19">
        <f>C6-H6</f>
        <v>13</v>
      </c>
      <c r="E6" s="21">
        <f>COUNTIFS('사업관리 체크리스트'!G23:G35,"적합",'사업관리 체크리스트'!H23:H35,"&lt;&gt;N/A")</f>
        <v>13</v>
      </c>
      <c r="F6" s="21">
        <f>COUNTIFS('사업관리 체크리스트'!G23:G35,"일부적합",'사업관리 체크리스트'!H23:H35,"&lt;&gt;N/A")</f>
        <v>0</v>
      </c>
      <c r="G6" s="21">
        <f>COUNTIFS('사업관리 체크리스트'!G23:G35,"부적합",'사업관리 체크리스트'!H23:H35,"&lt;&gt;N/A")</f>
        <v>0</v>
      </c>
      <c r="H6" s="21">
        <f>COUNTIF('사업관리 체크리스트'!H23:H35,"N/A")</f>
        <v>0</v>
      </c>
      <c r="I6" s="28">
        <f t="shared" si="0"/>
        <v>1</v>
      </c>
    </row>
    <row r="7" spans="1:10" ht="16.5" customHeight="1" thickBot="1">
      <c r="A7" s="141"/>
      <c r="B7" s="32" t="s">
        <v>139</v>
      </c>
      <c r="C7" s="33">
        <f t="shared" ref="C7:H7" si="1">SUM(C5:C6)</f>
        <v>33</v>
      </c>
      <c r="D7" s="33">
        <f t="shared" si="1"/>
        <v>33</v>
      </c>
      <c r="E7" s="33">
        <f t="shared" si="1"/>
        <v>33</v>
      </c>
      <c r="F7" s="33">
        <f t="shared" si="1"/>
        <v>0</v>
      </c>
      <c r="G7" s="34">
        <f t="shared" si="1"/>
        <v>0</v>
      </c>
      <c r="H7" s="34">
        <f t="shared" si="1"/>
        <v>0</v>
      </c>
      <c r="I7" s="35">
        <f>IF(D7=0,"-",(E7+(F7*$J$2))/D7)</f>
        <v>1</v>
      </c>
    </row>
    <row r="8" spans="1:10" ht="11.25" customHeight="1"/>
    <row r="9" spans="1:10" ht="11.25" customHeight="1" thickBot="1"/>
    <row r="10" spans="1:10" ht="16.5" customHeight="1" thickBot="1">
      <c r="A10" s="25" t="s">
        <v>36</v>
      </c>
      <c r="B10" s="26" t="s">
        <v>128</v>
      </c>
      <c r="C10" s="26" t="s">
        <v>129</v>
      </c>
      <c r="D10" s="26" t="s">
        <v>130</v>
      </c>
      <c r="E10" s="26" t="s">
        <v>131</v>
      </c>
      <c r="F10" s="26" t="s">
        <v>132</v>
      </c>
      <c r="G10" s="26" t="s">
        <v>133</v>
      </c>
      <c r="H10" s="26" t="s">
        <v>134</v>
      </c>
      <c r="I10" s="27" t="s">
        <v>135</v>
      </c>
    </row>
    <row r="11" spans="1:10" ht="16.5" customHeight="1">
      <c r="A11" s="139" t="s">
        <v>136</v>
      </c>
      <c r="B11" s="29" t="s">
        <v>38</v>
      </c>
      <c r="C11" s="16">
        <f>COUNT('개발관리 체크리스트'!A3:A12)</f>
        <v>10</v>
      </c>
      <c r="D11" s="19">
        <f>C11-H11</f>
        <v>10</v>
      </c>
      <c r="E11" s="15">
        <f>COUNTIFS('개발관리 체크리스트'!G3:G12,"적합", '개발관리 체크리스트'!H3:H12,"&lt;&gt;N/A")</f>
        <v>10</v>
      </c>
      <c r="F11" s="15">
        <f>COUNTIFS('개발관리 체크리스트'!G3:G12,"일부적합", '개발관리 체크리스트'!H3:H12,"&lt;&gt;N/A")</f>
        <v>0</v>
      </c>
      <c r="G11" s="15">
        <f>COUNTIFS('개발관리 체크리스트'!G3:G12,"부적합", '개발관리 체크리스트'!H3:H12,"&lt;&gt;N/A")</f>
        <v>0</v>
      </c>
      <c r="H11" s="15">
        <f>COUNTIF('개발관리 체크리스트'!H3:H12,"N/A")</f>
        <v>0</v>
      </c>
      <c r="I11" s="28">
        <f t="shared" ref="I11:I14" si="2">IF(D11=0,"-",(E11+(F11*$J$2))/D11)</f>
        <v>1</v>
      </c>
    </row>
    <row r="12" spans="1:10" ht="16.5" customHeight="1">
      <c r="A12" s="140"/>
      <c r="B12" s="29" t="s">
        <v>39</v>
      </c>
      <c r="C12" s="16">
        <f>COUNT('개발관리 체크리스트'!A13:A36)</f>
        <v>24</v>
      </c>
      <c r="D12" s="19">
        <f t="shared" ref="D12:D14" si="3">C12-H12</f>
        <v>24</v>
      </c>
      <c r="E12" s="15">
        <f>COUNTIFS('개발관리 체크리스트'!G13:G36,"적합", '개발관리 체크리스트'!H13:H36,"&lt;&gt;N/A")</f>
        <v>24</v>
      </c>
      <c r="F12" s="15">
        <f>COUNTIFS('개발관리 체크리스트'!G13:G36,"일부적합", '개발관리 체크리스트'!H13:H36,"&lt;&gt;N/A")</f>
        <v>0</v>
      </c>
      <c r="G12" s="15">
        <f>COUNTIFS('개발관리 체크리스트'!G13:G36,"부적합", '개발관리 체크리스트'!H13:H36,"&lt;&gt;N/A")</f>
        <v>0</v>
      </c>
      <c r="H12" s="15">
        <f>COUNTIF('개발관리 체크리스트'!H13:H36,"N/A")</f>
        <v>0</v>
      </c>
      <c r="I12" s="28">
        <f t="shared" si="2"/>
        <v>1</v>
      </c>
    </row>
    <row r="13" spans="1:10" ht="16.5" customHeight="1">
      <c r="A13" s="140"/>
      <c r="B13" s="29" t="s">
        <v>137</v>
      </c>
      <c r="C13" s="16">
        <f>COUNT('개발관리 체크리스트'!A37:A50)</f>
        <v>14</v>
      </c>
      <c r="D13" s="19">
        <f t="shared" si="3"/>
        <v>14</v>
      </c>
      <c r="E13" s="15">
        <f>COUNTIFS('개발관리 체크리스트'!G37:G50,"적합",'개발관리 체크리스트'!H37:H50,"&lt;&gt;N/A")</f>
        <v>14</v>
      </c>
      <c r="F13" s="15">
        <f>COUNTIFS('개발관리 체크리스트'!G37:G50,"일부적합",'개발관리 체크리스트'!H37:H50,"&lt;&gt;N/A")</f>
        <v>0</v>
      </c>
      <c r="G13" s="15">
        <f>COUNTIFS('개발관리 체크리스트'!G37:G50,"부적합",'개발관리 체크리스트'!H37:H50,"&lt;&gt;N/A")</f>
        <v>0</v>
      </c>
      <c r="H13" s="15">
        <f>COUNTIF('개발관리 체크리스트'!H37:H50,"N/A")</f>
        <v>0</v>
      </c>
      <c r="I13" s="28">
        <f t="shared" si="2"/>
        <v>1</v>
      </c>
    </row>
    <row r="14" spans="1:10" ht="16.5" customHeight="1" thickBot="1">
      <c r="A14" s="140"/>
      <c r="B14" s="30" t="s">
        <v>138</v>
      </c>
      <c r="C14" s="31">
        <f>COUNT('개발관리 체크리스트'!A51:A64)</f>
        <v>14</v>
      </c>
      <c r="D14" s="19">
        <f t="shared" si="3"/>
        <v>14</v>
      </c>
      <c r="E14" s="21">
        <f>COUNTIFS('개발관리 체크리스트'!G51:G64,"적합",'개발관리 체크리스트'!H51:H64,"&lt;&gt;N/A")</f>
        <v>14</v>
      </c>
      <c r="F14" s="21">
        <f>COUNTIFS('개발관리 체크리스트'!G51:G64,"일부적합",'개발관리 체크리스트'!H51:H64,"&lt;&gt;N/A")</f>
        <v>0</v>
      </c>
      <c r="G14" s="21">
        <f>COUNTIFS('개발관리 체크리스트'!G51:G64,"부적합",'개발관리 체크리스트'!H51:H64,"&lt;&gt;N/A")</f>
        <v>0</v>
      </c>
      <c r="H14" s="21">
        <f>COUNTIF('개발관리 체크리스트'!H51:H64,"N/A")</f>
        <v>0</v>
      </c>
      <c r="I14" s="28">
        <f t="shared" si="2"/>
        <v>1</v>
      </c>
    </row>
    <row r="15" spans="1:10" ht="16.5" customHeight="1" thickBot="1">
      <c r="A15" s="141"/>
      <c r="B15" s="32" t="s">
        <v>139</v>
      </c>
      <c r="C15" s="33">
        <f t="shared" ref="C15:H15" si="4">SUM(C11:C14)</f>
        <v>62</v>
      </c>
      <c r="D15" s="33">
        <f t="shared" si="4"/>
        <v>62</v>
      </c>
      <c r="E15" s="33">
        <f t="shared" si="4"/>
        <v>62</v>
      </c>
      <c r="F15" s="33">
        <f t="shared" si="4"/>
        <v>0</v>
      </c>
      <c r="G15" s="34">
        <f t="shared" si="4"/>
        <v>0</v>
      </c>
      <c r="H15" s="34">
        <f t="shared" si="4"/>
        <v>0</v>
      </c>
      <c r="I15" s="35">
        <f>IF(D15=0,"-",(E15+(F15*$J$2))/D15)</f>
        <v>1</v>
      </c>
    </row>
    <row r="16" spans="1:10" ht="11.25" customHeight="1"/>
    <row r="18" spans="1:9" ht="16.5" customHeight="1" thickBot="1">
      <c r="A18" s="17" t="s">
        <v>151</v>
      </c>
      <c r="B18" s="13"/>
      <c r="C18" s="13"/>
      <c r="D18" s="13"/>
      <c r="E18" s="13"/>
      <c r="F18" s="13"/>
      <c r="G18" s="13"/>
      <c r="H18" s="13"/>
      <c r="I18" s="13"/>
    </row>
    <row r="28" spans="1:9" ht="16.5" customHeight="1">
      <c r="A28" s="45"/>
    </row>
  </sheetData>
  <mergeCells count="2">
    <mergeCell ref="A11:A15"/>
    <mergeCell ref="A5:A7"/>
  </mergeCells>
  <phoneticPr fontId="11" type="noConversion"/>
  <dataValidations count="1">
    <dataValidation type="list" allowBlank="1" showInputMessage="1" showErrorMessage="1" sqref="J2:J3" xr:uid="{00000000-0002-0000-0300-000000000000}">
      <formula1>"0.1, 0.2, 0.3, 0.4, 0.5, 0.6, 0.7, 0.8, 0.9, 1"</formula1>
    </dataValidation>
  </dataValidations>
  <pageMargins left="0.70866141732283472" right="0.70866141732283472" top="0.74803149606299213" bottom="0.74803149606299213" header="0.31496062992125984" footer="0.31496062992125984"/>
  <pageSetup paperSize="9" scale="84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5"/>
  <sheetViews>
    <sheetView showGridLines="0" zoomScaleNormal="100" zoomScaleSheetLayoutView="100" workbookViewId="0">
      <pane xSplit="4" ySplit="2" topLeftCell="E3" activePane="bottomRight" state="frozen"/>
      <selection pane="topRight" activeCell="E1" sqref="E1"/>
      <selection pane="bottomLeft" activeCell="A4" sqref="A4"/>
      <selection pane="bottomRight" activeCell="J1" sqref="J1:J1048576"/>
    </sheetView>
  </sheetViews>
  <sheetFormatPr defaultColWidth="8.88671875" defaultRowHeight="12"/>
  <cols>
    <col min="1" max="1" width="3.33203125" style="1" customWidth="1"/>
    <col min="2" max="3" width="11" style="1" bestFit="1" customWidth="1"/>
    <col min="4" max="4" width="11.5546875" style="118" bestFit="1" customWidth="1"/>
    <col min="5" max="5" width="18.109375" style="1" bestFit="1" customWidth="1"/>
    <col min="6" max="6" width="58.88671875" style="1" customWidth="1"/>
    <col min="7" max="7" width="10.33203125" style="1" customWidth="1"/>
    <col min="8" max="8" width="8.21875" style="1" customWidth="1"/>
    <col min="9" max="9" width="25.6640625" style="1" customWidth="1"/>
    <col min="10" max="16384" width="8.88671875" style="1"/>
  </cols>
  <sheetData>
    <row r="1" spans="1:9" ht="19.5" customHeight="1">
      <c r="A1" s="142" t="s">
        <v>19</v>
      </c>
      <c r="B1" s="142" t="s">
        <v>20</v>
      </c>
      <c r="C1" s="142" t="s">
        <v>18</v>
      </c>
      <c r="D1" s="142" t="s">
        <v>28</v>
      </c>
      <c r="E1" s="142" t="s">
        <v>232</v>
      </c>
      <c r="F1" s="142" t="s">
        <v>16</v>
      </c>
      <c r="G1" s="142" t="s">
        <v>27</v>
      </c>
      <c r="H1" s="142"/>
      <c r="I1" s="142"/>
    </row>
    <row r="2" spans="1:9" ht="19.5" customHeight="1">
      <c r="A2" s="142"/>
      <c r="B2" s="142"/>
      <c r="C2" s="142"/>
      <c r="D2" s="142"/>
      <c r="E2" s="142"/>
      <c r="F2" s="142"/>
      <c r="G2" s="84" t="s">
        <v>26</v>
      </c>
      <c r="H2" s="84" t="s">
        <v>59</v>
      </c>
      <c r="I2" s="84" t="s">
        <v>3</v>
      </c>
    </row>
    <row r="3" spans="1:9" s="12" customFormat="1" ht="24">
      <c r="A3" s="22">
        <f t="shared" ref="A3:A35" si="0">ROW(A3)-2</f>
        <v>1</v>
      </c>
      <c r="B3" s="143" t="s">
        <v>60</v>
      </c>
      <c r="C3" s="143" t="s">
        <v>170</v>
      </c>
      <c r="D3" s="143" t="s">
        <v>47</v>
      </c>
      <c r="E3" s="143" t="s">
        <v>45</v>
      </c>
      <c r="F3" s="47" t="s">
        <v>61</v>
      </c>
      <c r="G3" s="22" t="s">
        <v>233</v>
      </c>
      <c r="H3" s="22" t="s">
        <v>50</v>
      </c>
      <c r="I3" s="23"/>
    </row>
    <row r="4" spans="1:9" s="12" customFormat="1" ht="24">
      <c r="A4" s="22">
        <f t="shared" si="0"/>
        <v>2</v>
      </c>
      <c r="B4" s="145"/>
      <c r="C4" s="145"/>
      <c r="D4" s="145"/>
      <c r="E4" s="145"/>
      <c r="F4" s="85" t="s">
        <v>279</v>
      </c>
      <c r="G4" s="22" t="s">
        <v>233</v>
      </c>
      <c r="H4" s="86" t="s">
        <v>50</v>
      </c>
      <c r="I4" s="108"/>
    </row>
    <row r="5" spans="1:9" s="12" customFormat="1" ht="24">
      <c r="A5" s="22">
        <f t="shared" si="0"/>
        <v>3</v>
      </c>
      <c r="B5" s="145"/>
      <c r="C5" s="145"/>
      <c r="D5" s="145"/>
      <c r="E5" s="145"/>
      <c r="F5" s="47" t="s">
        <v>62</v>
      </c>
      <c r="G5" s="22" t="s">
        <v>233</v>
      </c>
      <c r="H5" s="22" t="s">
        <v>50</v>
      </c>
      <c r="I5" s="47"/>
    </row>
    <row r="6" spans="1:9" s="12" customFormat="1" ht="13.5">
      <c r="A6" s="22">
        <f t="shared" si="0"/>
        <v>4</v>
      </c>
      <c r="B6" s="145"/>
      <c r="C6" s="145"/>
      <c r="D6" s="145"/>
      <c r="E6" s="145"/>
      <c r="F6" s="47" t="s">
        <v>63</v>
      </c>
      <c r="G6" s="22" t="s">
        <v>233</v>
      </c>
      <c r="H6" s="22" t="s">
        <v>50</v>
      </c>
      <c r="I6" s="47"/>
    </row>
    <row r="7" spans="1:9" s="12" customFormat="1" ht="24">
      <c r="A7" s="22">
        <f t="shared" si="0"/>
        <v>5</v>
      </c>
      <c r="B7" s="145"/>
      <c r="C7" s="145"/>
      <c r="D7" s="145"/>
      <c r="E7" s="145"/>
      <c r="F7" s="47" t="s">
        <v>175</v>
      </c>
      <c r="G7" s="22" t="s">
        <v>233</v>
      </c>
      <c r="H7" s="22" t="s">
        <v>50</v>
      </c>
      <c r="I7" s="47"/>
    </row>
    <row r="8" spans="1:9" s="12" customFormat="1" ht="13.5">
      <c r="A8" s="22">
        <f t="shared" si="0"/>
        <v>6</v>
      </c>
      <c r="B8" s="145"/>
      <c r="C8" s="145"/>
      <c r="D8" s="145"/>
      <c r="E8" s="145"/>
      <c r="F8" s="47" t="s">
        <v>235</v>
      </c>
      <c r="G8" s="22" t="s">
        <v>233</v>
      </c>
      <c r="H8" s="22" t="s">
        <v>50</v>
      </c>
      <c r="I8" s="87"/>
    </row>
    <row r="9" spans="1:9" s="12" customFormat="1" ht="13.5">
      <c r="A9" s="22">
        <f t="shared" si="0"/>
        <v>7</v>
      </c>
      <c r="B9" s="145"/>
      <c r="C9" s="145"/>
      <c r="D9" s="145"/>
      <c r="E9" s="144"/>
      <c r="F9" s="47" t="s">
        <v>172</v>
      </c>
      <c r="G9" s="22" t="s">
        <v>233</v>
      </c>
      <c r="H9" s="22" t="s">
        <v>50</v>
      </c>
      <c r="I9" s="87"/>
    </row>
    <row r="10" spans="1:9" s="12" customFormat="1" ht="13.5">
      <c r="A10" s="22">
        <f t="shared" si="0"/>
        <v>8</v>
      </c>
      <c r="B10" s="145"/>
      <c r="C10" s="145"/>
      <c r="D10" s="145"/>
      <c r="E10" s="146" t="s">
        <v>236</v>
      </c>
      <c r="F10" s="85" t="s">
        <v>237</v>
      </c>
      <c r="G10" s="22" t="s">
        <v>233</v>
      </c>
      <c r="H10" s="86" t="s">
        <v>238</v>
      </c>
      <c r="I10" s="87"/>
    </row>
    <row r="11" spans="1:9" s="12" customFormat="1" ht="13.5">
      <c r="A11" s="22">
        <f t="shared" si="0"/>
        <v>9</v>
      </c>
      <c r="B11" s="145"/>
      <c r="C11" s="144"/>
      <c r="D11" s="144"/>
      <c r="E11" s="147"/>
      <c r="F11" s="85" t="s">
        <v>239</v>
      </c>
      <c r="G11" s="22" t="s">
        <v>233</v>
      </c>
      <c r="H11" s="86" t="s">
        <v>238</v>
      </c>
      <c r="I11" s="87"/>
    </row>
    <row r="12" spans="1:9" s="12" customFormat="1" ht="13.5">
      <c r="A12" s="22">
        <f t="shared" si="0"/>
        <v>10</v>
      </c>
      <c r="B12" s="145"/>
      <c r="C12" s="143" t="s">
        <v>64</v>
      </c>
      <c r="D12" s="143" t="s">
        <v>65</v>
      </c>
      <c r="E12" s="143" t="s">
        <v>46</v>
      </c>
      <c r="F12" s="47" t="s">
        <v>66</v>
      </c>
      <c r="G12" s="22" t="s">
        <v>233</v>
      </c>
      <c r="H12" s="22" t="s">
        <v>50</v>
      </c>
      <c r="I12" s="87"/>
    </row>
    <row r="13" spans="1:9" s="12" customFormat="1" ht="13.5">
      <c r="A13" s="22">
        <f t="shared" si="0"/>
        <v>11</v>
      </c>
      <c r="B13" s="145"/>
      <c r="C13" s="145"/>
      <c r="D13" s="145"/>
      <c r="E13" s="145"/>
      <c r="F13" s="47" t="s">
        <v>67</v>
      </c>
      <c r="G13" s="22" t="s">
        <v>233</v>
      </c>
      <c r="H13" s="22" t="s">
        <v>50</v>
      </c>
      <c r="I13" s="87"/>
    </row>
    <row r="14" spans="1:9" s="12" customFormat="1" ht="24">
      <c r="A14" s="22">
        <f t="shared" si="0"/>
        <v>12</v>
      </c>
      <c r="B14" s="145"/>
      <c r="C14" s="145"/>
      <c r="D14" s="145"/>
      <c r="E14" s="145"/>
      <c r="F14" s="47" t="s">
        <v>173</v>
      </c>
      <c r="G14" s="22" t="s">
        <v>233</v>
      </c>
      <c r="H14" s="22" t="s">
        <v>50</v>
      </c>
      <c r="I14" s="87"/>
    </row>
    <row r="15" spans="1:9" s="12" customFormat="1" ht="24">
      <c r="A15" s="22">
        <f t="shared" si="0"/>
        <v>13</v>
      </c>
      <c r="B15" s="145"/>
      <c r="C15" s="145"/>
      <c r="D15" s="145"/>
      <c r="E15" s="145"/>
      <c r="F15" s="47" t="s">
        <v>174</v>
      </c>
      <c r="G15" s="22" t="s">
        <v>233</v>
      </c>
      <c r="H15" s="86" t="s">
        <v>50</v>
      </c>
      <c r="I15" s="87"/>
    </row>
    <row r="16" spans="1:9" s="12" customFormat="1" ht="13.5">
      <c r="A16" s="22">
        <f t="shared" si="0"/>
        <v>14</v>
      </c>
      <c r="B16" s="145"/>
      <c r="C16" s="145"/>
      <c r="D16" s="145"/>
      <c r="E16" s="145"/>
      <c r="F16" s="47" t="s">
        <v>280</v>
      </c>
      <c r="G16" s="22" t="s">
        <v>233</v>
      </c>
      <c r="H16" s="22" t="s">
        <v>234</v>
      </c>
      <c r="I16" s="113"/>
    </row>
    <row r="17" spans="1:9" s="12" customFormat="1" ht="13.5">
      <c r="A17" s="22">
        <f t="shared" si="0"/>
        <v>15</v>
      </c>
      <c r="B17" s="145"/>
      <c r="C17" s="145"/>
      <c r="D17" s="145"/>
      <c r="E17" s="145"/>
      <c r="F17" s="47" t="s">
        <v>68</v>
      </c>
      <c r="G17" s="22" t="s">
        <v>233</v>
      </c>
      <c r="H17" s="119" t="s">
        <v>50</v>
      </c>
      <c r="I17" s="114"/>
    </row>
    <row r="18" spans="1:9" s="12" customFormat="1" ht="13.5">
      <c r="A18" s="22">
        <f t="shared" si="0"/>
        <v>16</v>
      </c>
      <c r="B18" s="145"/>
      <c r="C18" s="145"/>
      <c r="D18" s="145"/>
      <c r="E18" s="145"/>
      <c r="F18" s="47" t="s">
        <v>69</v>
      </c>
      <c r="G18" s="22" t="s">
        <v>233</v>
      </c>
      <c r="H18" s="86" t="s">
        <v>50</v>
      </c>
      <c r="I18" s="87"/>
    </row>
    <row r="19" spans="1:9" s="12" customFormat="1" ht="13.5">
      <c r="A19" s="22">
        <f t="shared" si="0"/>
        <v>17</v>
      </c>
      <c r="B19" s="145"/>
      <c r="C19" s="145"/>
      <c r="D19" s="145"/>
      <c r="E19" s="145"/>
      <c r="F19" s="88" t="s">
        <v>70</v>
      </c>
      <c r="G19" s="22" t="s">
        <v>233</v>
      </c>
      <c r="H19" s="89" t="s">
        <v>50</v>
      </c>
      <c r="I19" s="87"/>
    </row>
    <row r="20" spans="1:9" s="12" customFormat="1" ht="13.5">
      <c r="A20" s="22">
        <f t="shared" si="0"/>
        <v>18</v>
      </c>
      <c r="B20" s="145"/>
      <c r="C20" s="145"/>
      <c r="D20" s="145"/>
      <c r="E20" s="145"/>
      <c r="F20" s="85" t="s">
        <v>240</v>
      </c>
      <c r="G20" s="22" t="s">
        <v>233</v>
      </c>
      <c r="H20" s="86" t="s">
        <v>50</v>
      </c>
      <c r="I20" s="87"/>
    </row>
    <row r="21" spans="1:9" s="12" customFormat="1" ht="24">
      <c r="A21" s="22">
        <f t="shared" si="0"/>
        <v>19</v>
      </c>
      <c r="B21" s="145"/>
      <c r="C21" s="145"/>
      <c r="D21" s="145"/>
      <c r="E21" s="145"/>
      <c r="F21" s="47" t="s">
        <v>241</v>
      </c>
      <c r="G21" s="22" t="s">
        <v>233</v>
      </c>
      <c r="H21" s="86" t="s">
        <v>50</v>
      </c>
      <c r="I21" s="87"/>
    </row>
    <row r="22" spans="1:9" s="12" customFormat="1" ht="24">
      <c r="A22" s="22">
        <f t="shared" si="0"/>
        <v>20</v>
      </c>
      <c r="B22" s="144"/>
      <c r="C22" s="144"/>
      <c r="D22" s="144"/>
      <c r="E22" s="144"/>
      <c r="F22" s="47" t="s">
        <v>281</v>
      </c>
      <c r="G22" s="22" t="s">
        <v>233</v>
      </c>
      <c r="H22" s="86" t="s">
        <v>50</v>
      </c>
      <c r="I22" s="109"/>
    </row>
    <row r="23" spans="1:9" s="12" customFormat="1" ht="13.5">
      <c r="A23" s="22">
        <f t="shared" si="0"/>
        <v>21</v>
      </c>
      <c r="B23" s="143" t="s">
        <v>163</v>
      </c>
      <c r="C23" s="143" t="s">
        <v>163</v>
      </c>
      <c r="D23" s="143" t="s">
        <v>65</v>
      </c>
      <c r="E23" s="143" t="s">
        <v>282</v>
      </c>
      <c r="F23" s="47" t="s">
        <v>164</v>
      </c>
      <c r="G23" s="22" t="s">
        <v>233</v>
      </c>
      <c r="H23" s="22" t="s">
        <v>50</v>
      </c>
      <c r="I23" s="47"/>
    </row>
    <row r="24" spans="1:9" s="12" customFormat="1" ht="24">
      <c r="A24" s="22">
        <f t="shared" si="0"/>
        <v>22</v>
      </c>
      <c r="B24" s="145"/>
      <c r="C24" s="145"/>
      <c r="D24" s="145"/>
      <c r="E24" s="145"/>
      <c r="F24" s="47" t="s">
        <v>165</v>
      </c>
      <c r="G24" s="22" t="s">
        <v>233</v>
      </c>
      <c r="H24" s="22" t="s">
        <v>50</v>
      </c>
      <c r="I24" s="47"/>
    </row>
    <row r="25" spans="1:9" s="12" customFormat="1" ht="24">
      <c r="A25" s="22">
        <f t="shared" si="0"/>
        <v>23</v>
      </c>
      <c r="B25" s="145"/>
      <c r="C25" s="145"/>
      <c r="D25" s="145"/>
      <c r="E25" s="145"/>
      <c r="F25" s="47" t="s">
        <v>166</v>
      </c>
      <c r="G25" s="22" t="s">
        <v>233</v>
      </c>
      <c r="H25" s="22" t="s">
        <v>50</v>
      </c>
      <c r="I25" s="47"/>
    </row>
    <row r="26" spans="1:9" s="12" customFormat="1" ht="13.5">
      <c r="A26" s="22">
        <f t="shared" si="0"/>
        <v>24</v>
      </c>
      <c r="B26" s="145"/>
      <c r="C26" s="145"/>
      <c r="D26" s="145"/>
      <c r="E26" s="145"/>
      <c r="F26" s="90" t="s">
        <v>167</v>
      </c>
      <c r="G26" s="22" t="s">
        <v>233</v>
      </c>
      <c r="H26" s="22" t="s">
        <v>50</v>
      </c>
      <c r="I26" s="47"/>
    </row>
    <row r="27" spans="1:9" s="12" customFormat="1" ht="63.6" customHeight="1">
      <c r="A27" s="22">
        <f t="shared" si="0"/>
        <v>25</v>
      </c>
      <c r="B27" s="145"/>
      <c r="C27" s="145"/>
      <c r="D27" s="144"/>
      <c r="E27" s="144"/>
      <c r="F27" s="47" t="s">
        <v>285</v>
      </c>
      <c r="G27" s="22" t="s">
        <v>233</v>
      </c>
      <c r="H27" s="22" t="s">
        <v>50</v>
      </c>
      <c r="I27" s="111"/>
    </row>
    <row r="28" spans="1:9" s="12" customFormat="1" ht="13.5">
      <c r="A28" s="22">
        <f t="shared" si="0"/>
        <v>26</v>
      </c>
      <c r="B28" s="145"/>
      <c r="C28" s="145"/>
      <c r="D28" s="143" t="s">
        <v>171</v>
      </c>
      <c r="E28" s="143" t="s">
        <v>46</v>
      </c>
      <c r="F28" s="47" t="s">
        <v>177</v>
      </c>
      <c r="G28" s="22" t="s">
        <v>233</v>
      </c>
      <c r="H28" s="22" t="s">
        <v>50</v>
      </c>
      <c r="I28" s="91"/>
    </row>
    <row r="29" spans="1:9" s="12" customFormat="1" ht="13.5">
      <c r="A29" s="22">
        <f t="shared" si="0"/>
        <v>27</v>
      </c>
      <c r="B29" s="145"/>
      <c r="C29" s="145"/>
      <c r="D29" s="145"/>
      <c r="E29" s="145"/>
      <c r="F29" s="47" t="s">
        <v>242</v>
      </c>
      <c r="G29" s="22" t="s">
        <v>233</v>
      </c>
      <c r="H29" s="22" t="s">
        <v>50</v>
      </c>
      <c r="I29" s="91"/>
    </row>
    <row r="30" spans="1:9" s="12" customFormat="1" ht="13.5">
      <c r="A30" s="22">
        <f t="shared" si="0"/>
        <v>28</v>
      </c>
      <c r="B30" s="145"/>
      <c r="C30" s="145"/>
      <c r="D30" s="144"/>
      <c r="E30" s="144"/>
      <c r="F30" s="47" t="s">
        <v>243</v>
      </c>
      <c r="G30" s="22" t="s">
        <v>233</v>
      </c>
      <c r="H30" s="22" t="s">
        <v>50</v>
      </c>
      <c r="I30" s="87"/>
    </row>
    <row r="31" spans="1:9" s="12" customFormat="1" ht="24">
      <c r="A31" s="22">
        <f t="shared" si="0"/>
        <v>29</v>
      </c>
      <c r="B31" s="145"/>
      <c r="C31" s="145"/>
      <c r="D31" s="22" t="s">
        <v>178</v>
      </c>
      <c r="E31" s="117" t="s">
        <v>179</v>
      </c>
      <c r="F31" s="47" t="s">
        <v>286</v>
      </c>
      <c r="G31" s="22" t="s">
        <v>233</v>
      </c>
      <c r="H31" s="110" t="s">
        <v>50</v>
      </c>
      <c r="I31" s="112"/>
    </row>
    <row r="32" spans="1:9" s="12" customFormat="1" ht="24">
      <c r="A32" s="22">
        <f t="shared" si="0"/>
        <v>30</v>
      </c>
      <c r="B32" s="145"/>
      <c r="C32" s="145"/>
      <c r="D32" s="117" t="s">
        <v>169</v>
      </c>
      <c r="E32" s="22" t="s">
        <v>176</v>
      </c>
      <c r="F32" s="47" t="s">
        <v>287</v>
      </c>
      <c r="G32" s="22" t="s">
        <v>233</v>
      </c>
      <c r="H32" s="22" t="s">
        <v>50</v>
      </c>
      <c r="I32" s="108"/>
    </row>
    <row r="33" spans="1:9" s="12" customFormat="1" ht="24">
      <c r="A33" s="22">
        <f t="shared" si="0"/>
        <v>31</v>
      </c>
      <c r="B33" s="144"/>
      <c r="C33" s="144"/>
      <c r="D33" s="22" t="s">
        <v>181</v>
      </c>
      <c r="E33" s="22" t="s">
        <v>283</v>
      </c>
      <c r="F33" s="47" t="s">
        <v>180</v>
      </c>
      <c r="G33" s="22" t="s">
        <v>233</v>
      </c>
      <c r="H33" s="22" t="s">
        <v>50</v>
      </c>
      <c r="I33" s="47"/>
    </row>
    <row r="34" spans="1:9" s="12" customFormat="1" ht="13.5">
      <c r="A34" s="22">
        <f t="shared" si="0"/>
        <v>32</v>
      </c>
      <c r="B34" s="143" t="s">
        <v>155</v>
      </c>
      <c r="C34" s="143" t="s">
        <v>155</v>
      </c>
      <c r="D34" s="22" t="s">
        <v>154</v>
      </c>
      <c r="E34" s="47" t="s">
        <v>153</v>
      </c>
      <c r="F34" s="114" t="s">
        <v>284</v>
      </c>
      <c r="G34" s="22" t="s">
        <v>233</v>
      </c>
      <c r="H34" s="22" t="s">
        <v>50</v>
      </c>
      <c r="I34" s="92"/>
    </row>
    <row r="35" spans="1:9" s="12" customFormat="1" ht="13.5">
      <c r="A35" s="22">
        <f t="shared" si="0"/>
        <v>33</v>
      </c>
      <c r="B35" s="144"/>
      <c r="C35" s="144"/>
      <c r="D35" s="22" t="s">
        <v>156</v>
      </c>
      <c r="E35" s="47" t="s">
        <v>157</v>
      </c>
      <c r="F35" s="47" t="s">
        <v>158</v>
      </c>
      <c r="G35" s="22" t="s">
        <v>233</v>
      </c>
      <c r="H35" s="22" t="s">
        <v>50</v>
      </c>
      <c r="I35" s="92"/>
    </row>
  </sheetData>
  <mergeCells count="23">
    <mergeCell ref="G1:I1"/>
    <mergeCell ref="F1:F2"/>
    <mergeCell ref="B3:B22"/>
    <mergeCell ref="C3:C11"/>
    <mergeCell ref="D3:D11"/>
    <mergeCell ref="E3:E9"/>
    <mergeCell ref="E10:E11"/>
    <mergeCell ref="C12:C22"/>
    <mergeCell ref="D12:D22"/>
    <mergeCell ref="E12:E22"/>
    <mergeCell ref="B34:B35"/>
    <mergeCell ref="C34:C35"/>
    <mergeCell ref="E23:E27"/>
    <mergeCell ref="D23:D27"/>
    <mergeCell ref="D28:D30"/>
    <mergeCell ref="E28:E30"/>
    <mergeCell ref="C23:C33"/>
    <mergeCell ref="B23:B33"/>
    <mergeCell ref="A1:A2"/>
    <mergeCell ref="B1:B2"/>
    <mergeCell ref="C1:C2"/>
    <mergeCell ref="D1:D2"/>
    <mergeCell ref="E1:E2"/>
  </mergeCells>
  <phoneticPr fontId="11" type="noConversion"/>
  <conditionalFormatting sqref="F24:F25 A23:A25 B23:F23 A31:A35 F28 A28 B34:F34 F31:F32 A3:I3 H31:I32 H28:I28 H23:I25 H34:I35 I33 D35:F35 A4:A7 F4:I7 G3:G35">
    <cfRule type="expression" dxfId="141" priority="37">
      <formula>IF(AND($H3="N/A", $I3=""), TRUE, FALSE)</formula>
    </cfRule>
    <cfRule type="expression" dxfId="140" priority="38">
      <formula>IF(AND($H3="N/A", $I3&lt;&gt;""), TRUE, FALSE)</formula>
    </cfRule>
  </conditionalFormatting>
  <conditionalFormatting sqref="F26 A26 H26:I26">
    <cfRule type="expression" dxfId="139" priority="35">
      <formula>IF(AND($H26="N/A", $I26=""), TRUE, FALSE)</formula>
    </cfRule>
    <cfRule type="expression" dxfId="138" priority="36">
      <formula>IF(AND($H26="N/A", $I26&lt;&gt;""), TRUE, FALSE)</formula>
    </cfRule>
  </conditionalFormatting>
  <conditionalFormatting sqref="D33:F33">
    <cfRule type="expression" dxfId="137" priority="33">
      <formula>IF(AND($H33="N/A", $I33=""), TRUE, FALSE)</formula>
    </cfRule>
    <cfRule type="expression" dxfId="136" priority="34">
      <formula>IF(AND($H33="N/A", $I33&lt;&gt;""), TRUE, FALSE)</formula>
    </cfRule>
  </conditionalFormatting>
  <conditionalFormatting sqref="H8">
    <cfRule type="expression" dxfId="135" priority="31">
      <formula>IF(AND($H8="N/A", $I8=""), TRUE, FALSE)</formula>
    </cfRule>
    <cfRule type="expression" dxfId="134" priority="32">
      <formula>IF(AND($H8="N/A", $I8&lt;&gt;""), TRUE, FALSE)</formula>
    </cfRule>
  </conditionalFormatting>
  <conditionalFormatting sqref="G8">
    <cfRule type="expression" dxfId="133" priority="27">
      <formula>IF(AND($H8="N/A", $I8=""), TRUE, FALSE)</formula>
    </cfRule>
    <cfRule type="expression" dxfId="132" priority="28">
      <formula>IF(AND($H8="N/A", $I8&lt;&gt;""), TRUE, FALSE)</formula>
    </cfRule>
  </conditionalFormatting>
  <conditionalFormatting sqref="G9">
    <cfRule type="expression" dxfId="131" priority="25">
      <formula>IF(AND($H9="N/A", $I9=""), TRUE, FALSE)</formula>
    </cfRule>
    <cfRule type="expression" dxfId="130" priority="26">
      <formula>IF(AND($H9="N/A", $I9&lt;&gt;""), TRUE, FALSE)</formula>
    </cfRule>
  </conditionalFormatting>
  <conditionalFormatting sqref="G10">
    <cfRule type="expression" dxfId="129" priority="23">
      <formula>IF(AND($H10="N/A", $I10=""), TRUE, FALSE)</formula>
    </cfRule>
    <cfRule type="expression" dxfId="128" priority="24">
      <formula>IF(AND($H10="N/A", $I10&lt;&gt;""), TRUE, FALSE)</formula>
    </cfRule>
  </conditionalFormatting>
  <conditionalFormatting sqref="G11:G21 G31:G35">
    <cfRule type="expression" dxfId="127" priority="21">
      <formula>IF(AND($H11="N/A", $I11=""), TRUE, FALSE)</formula>
    </cfRule>
    <cfRule type="expression" dxfId="126" priority="22">
      <formula>IF(AND($H11="N/A", $I11&lt;&gt;""), TRUE, FALSE)</formula>
    </cfRule>
  </conditionalFormatting>
  <conditionalFormatting sqref="G29">
    <cfRule type="expression" dxfId="125" priority="19">
      <formula>IF(AND($H29="N/A", $I29=""), TRUE, FALSE)</formula>
    </cfRule>
    <cfRule type="expression" dxfId="124" priority="20">
      <formula>IF(AND($H29="N/A", $I29&lt;&gt;""), TRUE, FALSE)</formula>
    </cfRule>
  </conditionalFormatting>
  <conditionalFormatting sqref="G30">
    <cfRule type="expression" dxfId="123" priority="17">
      <formula>IF(AND($H30="N/A", $I30=""), TRUE, FALSE)</formula>
    </cfRule>
    <cfRule type="expression" dxfId="122" priority="18">
      <formula>IF(AND($H30="N/A", $I30&lt;&gt;""), TRUE, FALSE)</formula>
    </cfRule>
  </conditionalFormatting>
  <conditionalFormatting sqref="I29">
    <cfRule type="expression" dxfId="121" priority="15">
      <formula>IF(AND($H29="N/A", $I29=""), TRUE, FALSE)</formula>
    </cfRule>
    <cfRule type="expression" dxfId="120" priority="16">
      <formula>IF(AND($H29="N/A", $I29&lt;&gt;""), TRUE, FALSE)</formula>
    </cfRule>
  </conditionalFormatting>
  <conditionalFormatting sqref="H30">
    <cfRule type="expression" dxfId="119" priority="13">
      <formula>IF(AND($H30="N/A", $I30=""), TRUE, FALSE)</formula>
    </cfRule>
    <cfRule type="expression" dxfId="118" priority="14">
      <formula>IF(AND($H30="N/A", $I30&lt;&gt;""), TRUE, FALSE)</formula>
    </cfRule>
  </conditionalFormatting>
  <conditionalFormatting sqref="H16">
    <cfRule type="expression" dxfId="117" priority="11">
      <formula>IF(AND($H16="N/A", $I16=""), TRUE, FALSE)</formula>
    </cfRule>
    <cfRule type="expression" dxfId="116" priority="12">
      <formula>IF(AND($H16="N/A", $I16&lt;&gt;""), TRUE, FALSE)</formula>
    </cfRule>
  </conditionalFormatting>
  <conditionalFormatting sqref="H33">
    <cfRule type="expression" dxfId="115" priority="7">
      <formula>IF(AND($H33="N/A", $I33=""), TRUE, FALSE)</formula>
    </cfRule>
    <cfRule type="expression" dxfId="114" priority="8">
      <formula>IF(AND($H33="N/A", $I33&lt;&gt;""), TRUE, FALSE)</formula>
    </cfRule>
  </conditionalFormatting>
  <conditionalFormatting sqref="G22">
    <cfRule type="expression" dxfId="113" priority="5">
      <formula>IF(AND($H22="N/A", $I22=""), TRUE, FALSE)</formula>
    </cfRule>
    <cfRule type="expression" dxfId="112" priority="6">
      <formula>IF(AND($H22="N/A", $I22&lt;&gt;""), TRUE, FALSE)</formula>
    </cfRule>
  </conditionalFormatting>
  <conditionalFormatting sqref="A29">
    <cfRule type="expression" dxfId="111" priority="3">
      <formula>IF(AND($H29="N/A", $I29=""), TRUE, FALSE)</formula>
    </cfRule>
    <cfRule type="expression" dxfId="110" priority="4">
      <formula>IF(AND($H29="N/A", $I29&lt;&gt;""), TRUE, FALSE)</formula>
    </cfRule>
  </conditionalFormatting>
  <conditionalFormatting sqref="A30">
    <cfRule type="expression" dxfId="109" priority="1">
      <formula>IF(AND($H30="N/A", $I30=""), TRUE, FALSE)</formula>
    </cfRule>
    <cfRule type="expression" dxfId="108" priority="2">
      <formula>IF(AND($H30="N/A", $I30&lt;&gt;""), TRUE, FALSE)</formula>
    </cfRule>
  </conditionalFormatting>
  <conditionalFormatting sqref="F27 A27 H9:H15 H27 H17:H22 F29:F30 H29 C12:F12 E10:F10 F11 A8:A22 F8:F9 F13:F22">
    <cfRule type="expression" dxfId="107" priority="39">
      <formula>IF(AND($H8="N/A", #REF!=""), TRUE, FALSE)</formula>
    </cfRule>
    <cfRule type="expression" dxfId="106" priority="40">
      <formula>IF(AND($H8="N/A", #REF!&lt;&gt;""), TRUE, FALSE)</formula>
    </cfRule>
  </conditionalFormatting>
  <dataValidations count="3">
    <dataValidation type="list" allowBlank="1" showInputMessage="1" showErrorMessage="1" sqref="H9:H15 H19:H28 H3:H7" xr:uid="{00000000-0002-0000-0400-000001000000}">
      <formula1>"필수"</formula1>
    </dataValidation>
    <dataValidation type="list" allowBlank="1" showInputMessage="1" showErrorMessage="1" sqref="H16:H18 H29:H35 H8" xr:uid="{00000000-0002-0000-0400-000002000000}">
      <formula1>"필수, 옵션, N/A"</formula1>
    </dataValidation>
    <dataValidation type="list" allowBlank="1" showInputMessage="1" showErrorMessage="1" sqref="G3:G35" xr:uid="{00000000-0002-0000-0400-000000000000}">
      <formula1>"적합, 일부적합, 부적합"</formula1>
    </dataValidation>
  </dataValidations>
  <pageMargins left="0.47244094488188981" right="0.47244094488188981" top="0.78740157480314965" bottom="0.78740157480314965" header="0.51181102362204722" footer="0.51181102362204722"/>
  <pageSetup paperSize="9" scale="70" fitToHeight="2" orientation="landscape" r:id="rId1"/>
  <headerFooter alignWithMargins="0">
    <oddHeader>&amp;L품질활동 체크리스트&amp;R사업관리</oddHeader>
    <oddFooter>&amp;C&amp;P/&amp;N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64"/>
  <sheetViews>
    <sheetView showGridLines="0" zoomScaleNormal="100" zoomScaleSheetLayoutView="85" workbookViewId="0">
      <pane xSplit="4" ySplit="2" topLeftCell="E3" activePane="bottomRight" state="frozen"/>
      <selection pane="topRight" activeCell="E1" sqref="E1"/>
      <selection pane="bottomLeft" activeCell="A4" sqref="A4"/>
      <selection pane="bottomRight" activeCell="O8" sqref="O8"/>
    </sheetView>
  </sheetViews>
  <sheetFormatPr defaultColWidth="8.88671875" defaultRowHeight="12"/>
  <cols>
    <col min="1" max="1" width="3.33203125" style="1" customWidth="1"/>
    <col min="2" max="2" width="10.109375" style="1" customWidth="1"/>
    <col min="3" max="3" width="7.77734375" style="1" customWidth="1"/>
    <col min="4" max="4" width="17.21875" style="1" customWidth="1"/>
    <col min="5" max="5" width="18.77734375" style="1" customWidth="1"/>
    <col min="6" max="6" width="59.109375" style="1" customWidth="1"/>
    <col min="7" max="7" width="10.33203125" style="1" customWidth="1"/>
    <col min="8" max="8" width="7.33203125" style="1" customWidth="1"/>
    <col min="9" max="9" width="30.77734375" style="1" customWidth="1"/>
    <col min="10" max="16384" width="8.88671875" style="1"/>
  </cols>
  <sheetData>
    <row r="1" spans="1:9" ht="19.5" customHeight="1">
      <c r="A1" s="142" t="s">
        <v>19</v>
      </c>
      <c r="B1" s="142" t="s">
        <v>20</v>
      </c>
      <c r="C1" s="142" t="s">
        <v>18</v>
      </c>
      <c r="D1" s="142" t="s">
        <v>28</v>
      </c>
      <c r="E1" s="142" t="s">
        <v>17</v>
      </c>
      <c r="F1" s="142" t="s">
        <v>16</v>
      </c>
      <c r="G1" s="142" t="s">
        <v>27</v>
      </c>
      <c r="H1" s="142"/>
      <c r="I1" s="142"/>
    </row>
    <row r="2" spans="1:9" ht="19.5" customHeight="1">
      <c r="A2" s="142"/>
      <c r="B2" s="142"/>
      <c r="C2" s="142"/>
      <c r="D2" s="142"/>
      <c r="E2" s="142"/>
      <c r="F2" s="156"/>
      <c r="G2" s="93" t="s">
        <v>26</v>
      </c>
      <c r="H2" s="93" t="s">
        <v>59</v>
      </c>
      <c r="I2" s="93" t="s">
        <v>3</v>
      </c>
    </row>
    <row r="3" spans="1:9" s="12" customFormat="1" ht="36">
      <c r="A3" s="94">
        <f t="shared" ref="A3:A63" si="0">ROW(A3)-2</f>
        <v>1</v>
      </c>
      <c r="B3" s="143" t="s">
        <v>71</v>
      </c>
      <c r="C3" s="143" t="s">
        <v>72</v>
      </c>
      <c r="D3" s="146" t="s">
        <v>29</v>
      </c>
      <c r="E3" s="146" t="s">
        <v>244</v>
      </c>
      <c r="F3" s="95" t="s">
        <v>245</v>
      </c>
      <c r="G3" s="86" t="s">
        <v>233</v>
      </c>
      <c r="H3" s="86" t="s">
        <v>50</v>
      </c>
      <c r="I3" s="96"/>
    </row>
    <row r="4" spans="1:9" s="12" customFormat="1" ht="13.5">
      <c r="A4" s="94">
        <f t="shared" si="0"/>
        <v>2</v>
      </c>
      <c r="B4" s="145"/>
      <c r="C4" s="145"/>
      <c r="D4" s="148"/>
      <c r="E4" s="148"/>
      <c r="F4" s="85" t="s">
        <v>73</v>
      </c>
      <c r="G4" s="86" t="s">
        <v>233</v>
      </c>
      <c r="H4" s="86" t="s">
        <v>50</v>
      </c>
      <c r="I4" s="85"/>
    </row>
    <row r="5" spans="1:9" s="12" customFormat="1" ht="13.5">
      <c r="A5" s="94">
        <f t="shared" si="0"/>
        <v>3</v>
      </c>
      <c r="B5" s="145"/>
      <c r="C5" s="145"/>
      <c r="D5" s="148"/>
      <c r="E5" s="148"/>
      <c r="F5" s="85" t="s">
        <v>74</v>
      </c>
      <c r="G5" s="86" t="s">
        <v>233</v>
      </c>
      <c r="H5" s="86" t="s">
        <v>50</v>
      </c>
      <c r="I5" s="95"/>
    </row>
    <row r="6" spans="1:9" s="12" customFormat="1" ht="13.5">
      <c r="A6" s="94">
        <f t="shared" si="0"/>
        <v>4</v>
      </c>
      <c r="B6" s="145"/>
      <c r="C6" s="145"/>
      <c r="D6" s="148"/>
      <c r="E6" s="148"/>
      <c r="F6" s="85" t="s">
        <v>246</v>
      </c>
      <c r="G6" s="86" t="s">
        <v>233</v>
      </c>
      <c r="H6" s="86" t="s">
        <v>50</v>
      </c>
      <c r="I6" s="97"/>
    </row>
    <row r="7" spans="1:9" s="12" customFormat="1" ht="24">
      <c r="A7" s="94">
        <f t="shared" si="0"/>
        <v>5</v>
      </c>
      <c r="B7" s="145"/>
      <c r="C7" s="145"/>
      <c r="D7" s="148"/>
      <c r="E7" s="148"/>
      <c r="F7" s="85" t="s">
        <v>247</v>
      </c>
      <c r="G7" s="86" t="s">
        <v>233</v>
      </c>
      <c r="H7" s="86" t="s">
        <v>50</v>
      </c>
      <c r="I7" s="85"/>
    </row>
    <row r="8" spans="1:9" s="12" customFormat="1" ht="13.5">
      <c r="A8" s="94">
        <f t="shared" si="0"/>
        <v>6</v>
      </c>
      <c r="B8" s="145"/>
      <c r="C8" s="145"/>
      <c r="D8" s="148"/>
      <c r="E8" s="148"/>
      <c r="F8" s="85" t="s">
        <v>75</v>
      </c>
      <c r="G8" s="86" t="s">
        <v>233</v>
      </c>
      <c r="H8" s="86" t="s">
        <v>50</v>
      </c>
      <c r="I8" s="85"/>
    </row>
    <row r="9" spans="1:9" s="12" customFormat="1" ht="48">
      <c r="A9" s="94">
        <f t="shared" si="0"/>
        <v>7</v>
      </c>
      <c r="B9" s="145"/>
      <c r="C9" s="145"/>
      <c r="D9" s="148"/>
      <c r="E9" s="148"/>
      <c r="F9" s="85" t="s">
        <v>76</v>
      </c>
      <c r="G9" s="86" t="s">
        <v>233</v>
      </c>
      <c r="H9" s="119" t="s">
        <v>234</v>
      </c>
      <c r="I9" s="115"/>
    </row>
    <row r="10" spans="1:9" s="12" customFormat="1" ht="36">
      <c r="A10" s="94">
        <f t="shared" si="0"/>
        <v>8</v>
      </c>
      <c r="B10" s="145"/>
      <c r="C10" s="145"/>
      <c r="D10" s="147"/>
      <c r="E10" s="147"/>
      <c r="F10" s="85" t="s">
        <v>248</v>
      </c>
      <c r="G10" s="86" t="s">
        <v>233</v>
      </c>
      <c r="H10" s="86" t="s">
        <v>50</v>
      </c>
      <c r="I10" s="85"/>
    </row>
    <row r="11" spans="1:9" s="12" customFormat="1" ht="13.5">
      <c r="A11" s="94">
        <f t="shared" si="0"/>
        <v>9</v>
      </c>
      <c r="B11" s="145"/>
      <c r="C11" s="145"/>
      <c r="D11" s="154" t="s">
        <v>249</v>
      </c>
      <c r="E11" s="152" t="s">
        <v>250</v>
      </c>
      <c r="F11" s="85" t="s">
        <v>251</v>
      </c>
      <c r="G11" s="86" t="s">
        <v>233</v>
      </c>
      <c r="H11" s="22" t="s">
        <v>234</v>
      </c>
      <c r="I11" s="98"/>
    </row>
    <row r="12" spans="1:9" s="12" customFormat="1" ht="24">
      <c r="A12" s="94">
        <f t="shared" si="0"/>
        <v>10</v>
      </c>
      <c r="B12" s="144"/>
      <c r="C12" s="144"/>
      <c r="D12" s="155"/>
      <c r="E12" s="153"/>
      <c r="F12" s="85" t="s">
        <v>252</v>
      </c>
      <c r="G12" s="86" t="s">
        <v>233</v>
      </c>
      <c r="H12" s="22" t="s">
        <v>234</v>
      </c>
      <c r="I12" s="98"/>
    </row>
    <row r="13" spans="1:9" s="12" customFormat="1" ht="13.5">
      <c r="A13" s="22">
        <f t="shared" si="0"/>
        <v>11</v>
      </c>
      <c r="B13" s="143" t="s">
        <v>77</v>
      </c>
      <c r="C13" s="143" t="s">
        <v>12</v>
      </c>
      <c r="D13" s="146" t="s">
        <v>44</v>
      </c>
      <c r="E13" s="120" t="s">
        <v>78</v>
      </c>
      <c r="F13" s="85" t="s">
        <v>79</v>
      </c>
      <c r="G13" s="86" t="s">
        <v>233</v>
      </c>
      <c r="H13" s="99" t="s">
        <v>238</v>
      </c>
      <c r="I13" s="96"/>
    </row>
    <row r="14" spans="1:9" s="12" customFormat="1" ht="13.5">
      <c r="A14" s="22">
        <f t="shared" si="0"/>
        <v>12</v>
      </c>
      <c r="B14" s="145"/>
      <c r="C14" s="145"/>
      <c r="D14" s="148"/>
      <c r="E14" s="146" t="s">
        <v>43</v>
      </c>
      <c r="F14" s="95" t="s">
        <v>80</v>
      </c>
      <c r="G14" s="86" t="s">
        <v>233</v>
      </c>
      <c r="H14" s="99" t="s">
        <v>238</v>
      </c>
      <c r="I14" s="95"/>
    </row>
    <row r="15" spans="1:9" s="12" customFormat="1" ht="14.25" customHeight="1">
      <c r="A15" s="22">
        <f t="shared" si="0"/>
        <v>13</v>
      </c>
      <c r="B15" s="145"/>
      <c r="C15" s="145"/>
      <c r="D15" s="148"/>
      <c r="E15" s="148"/>
      <c r="F15" s="85" t="s">
        <v>81</v>
      </c>
      <c r="G15" s="86" t="s">
        <v>233</v>
      </c>
      <c r="H15" s="86" t="s">
        <v>50</v>
      </c>
      <c r="I15" s="85"/>
    </row>
    <row r="16" spans="1:9" s="12" customFormat="1" ht="13.5">
      <c r="A16" s="22">
        <f t="shared" si="0"/>
        <v>14</v>
      </c>
      <c r="B16" s="145"/>
      <c r="C16" s="145"/>
      <c r="D16" s="148"/>
      <c r="E16" s="148"/>
      <c r="F16" s="85" t="s">
        <v>82</v>
      </c>
      <c r="G16" s="86" t="s">
        <v>233</v>
      </c>
      <c r="H16" s="119" t="s">
        <v>234</v>
      </c>
      <c r="I16" s="108"/>
    </row>
    <row r="17" spans="1:9" s="12" customFormat="1" ht="24">
      <c r="A17" s="22">
        <f t="shared" si="0"/>
        <v>15</v>
      </c>
      <c r="B17" s="145"/>
      <c r="C17" s="144"/>
      <c r="D17" s="147"/>
      <c r="E17" s="147"/>
      <c r="F17" s="47" t="s">
        <v>83</v>
      </c>
      <c r="G17" s="86" t="s">
        <v>233</v>
      </c>
      <c r="H17" s="119" t="s">
        <v>234</v>
      </c>
      <c r="I17" s="108"/>
    </row>
    <row r="18" spans="1:9" s="12" customFormat="1" ht="26.45" customHeight="1">
      <c r="A18" s="22">
        <f t="shared" si="0"/>
        <v>16</v>
      </c>
      <c r="B18" s="145"/>
      <c r="C18" s="143" t="s">
        <v>288</v>
      </c>
      <c r="D18" s="143" t="s">
        <v>13</v>
      </c>
      <c r="E18" s="143" t="s">
        <v>84</v>
      </c>
      <c r="F18" s="47" t="s">
        <v>253</v>
      </c>
      <c r="G18" s="86" t="s">
        <v>233</v>
      </c>
      <c r="H18" s="22" t="s">
        <v>234</v>
      </c>
      <c r="I18" s="47"/>
    </row>
    <row r="19" spans="1:9" s="12" customFormat="1" ht="13.5">
      <c r="A19" s="22">
        <f t="shared" si="0"/>
        <v>17</v>
      </c>
      <c r="B19" s="145"/>
      <c r="C19" s="145"/>
      <c r="D19" s="144"/>
      <c r="E19" s="144"/>
      <c r="F19" s="47" t="s">
        <v>51</v>
      </c>
      <c r="G19" s="86" t="s">
        <v>233</v>
      </c>
      <c r="H19" s="119" t="s">
        <v>234</v>
      </c>
      <c r="I19" s="47"/>
    </row>
    <row r="20" spans="1:9" s="12" customFormat="1" ht="13.5">
      <c r="A20" s="22">
        <f t="shared" si="0"/>
        <v>18</v>
      </c>
      <c r="B20" s="145"/>
      <c r="C20" s="145"/>
      <c r="D20" s="149" t="s">
        <v>124</v>
      </c>
      <c r="E20" s="143" t="s">
        <v>35</v>
      </c>
      <c r="F20" s="85" t="s">
        <v>254</v>
      </c>
      <c r="G20" s="86" t="s">
        <v>233</v>
      </c>
      <c r="H20" s="22" t="s">
        <v>234</v>
      </c>
      <c r="I20" s="95"/>
    </row>
    <row r="21" spans="1:9" s="12" customFormat="1" ht="13.5">
      <c r="A21" s="24">
        <f t="shared" si="0"/>
        <v>19</v>
      </c>
      <c r="B21" s="145"/>
      <c r="C21" s="145"/>
      <c r="D21" s="150"/>
      <c r="E21" s="144"/>
      <c r="F21" s="23" t="s">
        <v>127</v>
      </c>
      <c r="G21" s="86" t="s">
        <v>233</v>
      </c>
      <c r="H21" s="22" t="s">
        <v>234</v>
      </c>
      <c r="I21" s="24"/>
    </row>
    <row r="22" spans="1:9" s="12" customFormat="1" ht="13.5">
      <c r="A22" s="24">
        <f t="shared" si="0"/>
        <v>20</v>
      </c>
      <c r="B22" s="145"/>
      <c r="C22" s="145"/>
      <c r="D22" s="150"/>
      <c r="E22" s="149" t="s">
        <v>255</v>
      </c>
      <c r="F22" s="100" t="s">
        <v>125</v>
      </c>
      <c r="G22" s="86" t="s">
        <v>233</v>
      </c>
      <c r="H22" s="22" t="s">
        <v>234</v>
      </c>
      <c r="I22" s="24"/>
    </row>
    <row r="23" spans="1:9" s="12" customFormat="1" ht="13.5">
      <c r="A23" s="24">
        <f t="shared" si="0"/>
        <v>21</v>
      </c>
      <c r="B23" s="145"/>
      <c r="C23" s="144"/>
      <c r="D23" s="151"/>
      <c r="E23" s="151"/>
      <c r="F23" s="100" t="s">
        <v>126</v>
      </c>
      <c r="G23" s="86" t="s">
        <v>233</v>
      </c>
      <c r="H23" s="22" t="s">
        <v>234</v>
      </c>
      <c r="I23" s="24"/>
    </row>
    <row r="24" spans="1:9" s="12" customFormat="1" ht="26.45" customHeight="1">
      <c r="A24" s="22">
        <f t="shared" si="0"/>
        <v>22</v>
      </c>
      <c r="B24" s="145"/>
      <c r="C24" s="143" t="s">
        <v>256</v>
      </c>
      <c r="D24" s="143" t="s">
        <v>257</v>
      </c>
      <c r="E24" s="143" t="s">
        <v>258</v>
      </c>
      <c r="F24" s="47" t="s">
        <v>259</v>
      </c>
      <c r="G24" s="86" t="s">
        <v>233</v>
      </c>
      <c r="H24" s="22" t="s">
        <v>234</v>
      </c>
      <c r="I24" s="47"/>
    </row>
    <row r="25" spans="1:9" s="12" customFormat="1" ht="13.5">
      <c r="A25" s="22">
        <f t="shared" si="0"/>
        <v>23</v>
      </c>
      <c r="B25" s="145"/>
      <c r="C25" s="145"/>
      <c r="D25" s="145"/>
      <c r="E25" s="145"/>
      <c r="F25" s="47" t="s">
        <v>260</v>
      </c>
      <c r="G25" s="86" t="s">
        <v>233</v>
      </c>
      <c r="H25" s="22" t="s">
        <v>234</v>
      </c>
      <c r="I25" s="47"/>
    </row>
    <row r="26" spans="1:9" s="12" customFormat="1" ht="13.5">
      <c r="A26" s="22">
        <f t="shared" si="0"/>
        <v>24</v>
      </c>
      <c r="B26" s="145"/>
      <c r="C26" s="145"/>
      <c r="D26" s="145"/>
      <c r="E26" s="145"/>
      <c r="F26" s="47" t="s">
        <v>261</v>
      </c>
      <c r="G26" s="86" t="s">
        <v>233</v>
      </c>
      <c r="H26" s="22" t="s">
        <v>234</v>
      </c>
      <c r="I26" s="47"/>
    </row>
    <row r="27" spans="1:9" s="12" customFormat="1" ht="13.5">
      <c r="A27" s="22">
        <f t="shared" si="0"/>
        <v>25</v>
      </c>
      <c r="B27" s="145"/>
      <c r="C27" s="145"/>
      <c r="D27" s="145"/>
      <c r="E27" s="144"/>
      <c r="F27" s="47" t="s">
        <v>262</v>
      </c>
      <c r="G27" s="86" t="s">
        <v>233</v>
      </c>
      <c r="H27" s="22" t="s">
        <v>234</v>
      </c>
      <c r="I27" s="47"/>
    </row>
    <row r="28" spans="1:9" s="12" customFormat="1" ht="13.5">
      <c r="A28" s="22">
        <f t="shared" si="0"/>
        <v>26</v>
      </c>
      <c r="B28" s="145"/>
      <c r="C28" s="144"/>
      <c r="D28" s="144"/>
      <c r="E28" s="94" t="s">
        <v>85</v>
      </c>
      <c r="F28" s="47" t="s">
        <v>86</v>
      </c>
      <c r="G28" s="86" t="s">
        <v>233</v>
      </c>
      <c r="H28" s="22" t="s">
        <v>234</v>
      </c>
      <c r="I28" s="101"/>
    </row>
    <row r="29" spans="1:9" s="12" customFormat="1" ht="26.45" customHeight="1">
      <c r="A29" s="22">
        <f t="shared" si="0"/>
        <v>27</v>
      </c>
      <c r="B29" s="145"/>
      <c r="C29" s="143" t="s">
        <v>289</v>
      </c>
      <c r="D29" s="143" t="s">
        <v>14</v>
      </c>
      <c r="E29" s="143" t="s">
        <v>54</v>
      </c>
      <c r="F29" s="47" t="s">
        <v>87</v>
      </c>
      <c r="G29" s="86" t="s">
        <v>233</v>
      </c>
      <c r="H29" s="22" t="s">
        <v>238</v>
      </c>
      <c r="I29" s="22"/>
    </row>
    <row r="30" spans="1:9" s="12" customFormat="1" ht="13.5">
      <c r="A30" s="22">
        <f t="shared" si="0"/>
        <v>28</v>
      </c>
      <c r="B30" s="145"/>
      <c r="C30" s="145"/>
      <c r="D30" s="145"/>
      <c r="E30" s="145"/>
      <c r="F30" s="47" t="s">
        <v>263</v>
      </c>
      <c r="G30" s="86" t="s">
        <v>233</v>
      </c>
      <c r="H30" s="22" t="s">
        <v>50</v>
      </c>
      <c r="I30" s="47"/>
    </row>
    <row r="31" spans="1:9" s="12" customFormat="1" ht="13.5">
      <c r="A31" s="22">
        <f t="shared" si="0"/>
        <v>29</v>
      </c>
      <c r="B31" s="145"/>
      <c r="C31" s="145"/>
      <c r="D31" s="145"/>
      <c r="E31" s="145"/>
      <c r="F31" s="47" t="s">
        <v>264</v>
      </c>
      <c r="G31" s="86" t="s">
        <v>233</v>
      </c>
      <c r="H31" s="22" t="s">
        <v>50</v>
      </c>
      <c r="I31" s="47"/>
    </row>
    <row r="32" spans="1:9" s="12" customFormat="1" ht="13.5">
      <c r="A32" s="22">
        <f t="shared" si="0"/>
        <v>30</v>
      </c>
      <c r="B32" s="145"/>
      <c r="C32" s="145"/>
      <c r="D32" s="144"/>
      <c r="E32" s="144"/>
      <c r="F32" s="47" t="s">
        <v>265</v>
      </c>
      <c r="G32" s="86" t="s">
        <v>233</v>
      </c>
      <c r="H32" s="22" t="s">
        <v>50</v>
      </c>
      <c r="I32" s="47"/>
    </row>
    <row r="33" spans="1:9" s="12" customFormat="1" ht="24">
      <c r="A33" s="22">
        <f t="shared" si="0"/>
        <v>31</v>
      </c>
      <c r="B33" s="145"/>
      <c r="C33" s="145"/>
      <c r="D33" s="143" t="s">
        <v>0</v>
      </c>
      <c r="E33" s="143" t="s">
        <v>55</v>
      </c>
      <c r="F33" s="102" t="s">
        <v>266</v>
      </c>
      <c r="G33" s="86" t="s">
        <v>233</v>
      </c>
      <c r="H33" s="22" t="s">
        <v>50</v>
      </c>
      <c r="I33" s="103"/>
    </row>
    <row r="34" spans="1:9" s="12" customFormat="1" ht="13.5">
      <c r="A34" s="22">
        <f t="shared" si="0"/>
        <v>32</v>
      </c>
      <c r="B34" s="145"/>
      <c r="C34" s="144"/>
      <c r="D34" s="144"/>
      <c r="E34" s="144"/>
      <c r="F34" s="102" t="s">
        <v>88</v>
      </c>
      <c r="G34" s="86" t="s">
        <v>233</v>
      </c>
      <c r="H34" s="22" t="s">
        <v>50</v>
      </c>
      <c r="I34" s="103"/>
    </row>
    <row r="35" spans="1:9" s="12" customFormat="1" ht="13.5">
      <c r="A35" s="22">
        <f t="shared" si="0"/>
        <v>33</v>
      </c>
      <c r="B35" s="145"/>
      <c r="C35" s="143" t="s">
        <v>4</v>
      </c>
      <c r="D35" s="143" t="s">
        <v>41</v>
      </c>
      <c r="E35" s="143" t="s">
        <v>290</v>
      </c>
      <c r="F35" s="47" t="s">
        <v>89</v>
      </c>
      <c r="G35" s="86" t="s">
        <v>233</v>
      </c>
      <c r="H35" s="119" t="s">
        <v>234</v>
      </c>
      <c r="I35" s="47"/>
    </row>
    <row r="36" spans="1:9" s="12" customFormat="1" ht="13.5">
      <c r="A36" s="22">
        <f t="shared" si="0"/>
        <v>34</v>
      </c>
      <c r="B36" s="144"/>
      <c r="C36" s="144"/>
      <c r="D36" s="144"/>
      <c r="E36" s="144"/>
      <c r="F36" s="47" t="s">
        <v>90</v>
      </c>
      <c r="G36" s="86" t="s">
        <v>233</v>
      </c>
      <c r="H36" s="119" t="s">
        <v>234</v>
      </c>
      <c r="I36" s="47"/>
    </row>
    <row r="37" spans="1:9" s="12" customFormat="1" ht="24">
      <c r="A37" s="22">
        <f t="shared" si="0"/>
        <v>35</v>
      </c>
      <c r="B37" s="143" t="s">
        <v>91</v>
      </c>
      <c r="C37" s="143" t="s">
        <v>92</v>
      </c>
      <c r="D37" s="143" t="s">
        <v>56</v>
      </c>
      <c r="E37" s="143" t="s">
        <v>93</v>
      </c>
      <c r="F37" s="47" t="s">
        <v>267</v>
      </c>
      <c r="G37" s="86" t="s">
        <v>233</v>
      </c>
      <c r="H37" s="22" t="s">
        <v>50</v>
      </c>
      <c r="I37" s="47"/>
    </row>
    <row r="38" spans="1:9" s="12" customFormat="1" ht="13.5">
      <c r="A38" s="22">
        <f t="shared" si="0"/>
        <v>36</v>
      </c>
      <c r="B38" s="145"/>
      <c r="C38" s="145"/>
      <c r="D38" s="145"/>
      <c r="E38" s="145"/>
      <c r="F38" s="47" t="s">
        <v>268</v>
      </c>
      <c r="G38" s="86" t="s">
        <v>233</v>
      </c>
      <c r="H38" s="22" t="s">
        <v>50</v>
      </c>
      <c r="I38" s="47"/>
    </row>
    <row r="39" spans="1:9" s="12" customFormat="1" ht="13.5">
      <c r="A39" s="22">
        <f t="shared" si="0"/>
        <v>37</v>
      </c>
      <c r="B39" s="145"/>
      <c r="C39" s="145"/>
      <c r="D39" s="144"/>
      <c r="E39" s="144"/>
      <c r="F39" s="47" t="s">
        <v>52</v>
      </c>
      <c r="G39" s="86" t="s">
        <v>233</v>
      </c>
      <c r="H39" s="22" t="s">
        <v>50</v>
      </c>
      <c r="I39" s="47"/>
    </row>
    <row r="40" spans="1:9" s="12" customFormat="1" ht="15.6" customHeight="1">
      <c r="A40" s="22">
        <f t="shared" si="0"/>
        <v>38</v>
      </c>
      <c r="B40" s="145"/>
      <c r="C40" s="145"/>
      <c r="D40" s="143" t="s">
        <v>15</v>
      </c>
      <c r="E40" s="143" t="s">
        <v>94</v>
      </c>
      <c r="F40" s="48" t="s">
        <v>95</v>
      </c>
      <c r="G40" s="86" t="s">
        <v>233</v>
      </c>
      <c r="H40" s="22" t="s">
        <v>50</v>
      </c>
      <c r="I40" s="104"/>
    </row>
    <row r="41" spans="1:9" s="12" customFormat="1" ht="13.5">
      <c r="A41" s="22">
        <f t="shared" si="0"/>
        <v>39</v>
      </c>
      <c r="B41" s="145"/>
      <c r="C41" s="145"/>
      <c r="D41" s="145"/>
      <c r="E41" s="145"/>
      <c r="F41" s="47" t="s">
        <v>96</v>
      </c>
      <c r="G41" s="86" t="s">
        <v>233</v>
      </c>
      <c r="H41" s="86" t="s">
        <v>50</v>
      </c>
      <c r="I41" s="23"/>
    </row>
    <row r="42" spans="1:9" s="12" customFormat="1" ht="13.5">
      <c r="A42" s="22">
        <f t="shared" si="0"/>
        <v>40</v>
      </c>
      <c r="B42" s="145"/>
      <c r="C42" s="145"/>
      <c r="D42" s="145"/>
      <c r="E42" s="144"/>
      <c r="F42" s="48" t="s">
        <v>97</v>
      </c>
      <c r="G42" s="86" t="s">
        <v>233</v>
      </c>
      <c r="H42" s="86" t="s">
        <v>50</v>
      </c>
      <c r="I42" s="48"/>
    </row>
    <row r="43" spans="1:9" s="12" customFormat="1" ht="24">
      <c r="A43" s="22">
        <f t="shared" si="0"/>
        <v>41</v>
      </c>
      <c r="B43" s="145"/>
      <c r="C43" s="144"/>
      <c r="D43" s="144"/>
      <c r="E43" s="94" t="s">
        <v>98</v>
      </c>
      <c r="F43" s="47" t="s">
        <v>99</v>
      </c>
      <c r="G43" s="86" t="s">
        <v>233</v>
      </c>
      <c r="H43" s="86" t="s">
        <v>50</v>
      </c>
      <c r="I43" s="23"/>
    </row>
    <row r="44" spans="1:9" s="12" customFormat="1" ht="24">
      <c r="A44" s="22">
        <f t="shared" si="0"/>
        <v>42</v>
      </c>
      <c r="B44" s="145"/>
      <c r="C44" s="143" t="s">
        <v>100</v>
      </c>
      <c r="D44" s="22" t="s">
        <v>101</v>
      </c>
      <c r="E44" s="94" t="s">
        <v>102</v>
      </c>
      <c r="F44" s="47" t="s">
        <v>148</v>
      </c>
      <c r="G44" s="86" t="s">
        <v>233</v>
      </c>
      <c r="H44" s="86" t="s">
        <v>50</v>
      </c>
      <c r="I44" s="47"/>
    </row>
    <row r="45" spans="1:9" s="12" customFormat="1" ht="13.5">
      <c r="A45" s="22">
        <f t="shared" si="0"/>
        <v>43</v>
      </c>
      <c r="B45" s="145"/>
      <c r="C45" s="144"/>
      <c r="D45" s="22" t="s">
        <v>103</v>
      </c>
      <c r="E45" s="94" t="s">
        <v>5</v>
      </c>
      <c r="F45" s="47" t="s">
        <v>57</v>
      </c>
      <c r="G45" s="86" t="s">
        <v>233</v>
      </c>
      <c r="H45" s="86" t="s">
        <v>50</v>
      </c>
      <c r="I45" s="47"/>
    </row>
    <row r="46" spans="1:9" s="12" customFormat="1" ht="26.45" customHeight="1">
      <c r="A46" s="22">
        <f t="shared" si="0"/>
        <v>44</v>
      </c>
      <c r="B46" s="145"/>
      <c r="C46" s="143" t="s">
        <v>291</v>
      </c>
      <c r="D46" s="143" t="s">
        <v>104</v>
      </c>
      <c r="E46" s="94" t="s">
        <v>104</v>
      </c>
      <c r="F46" s="47" t="s">
        <v>269</v>
      </c>
      <c r="G46" s="86" t="s">
        <v>233</v>
      </c>
      <c r="H46" s="86" t="s">
        <v>238</v>
      </c>
      <c r="I46" s="105"/>
    </row>
    <row r="47" spans="1:9" s="12" customFormat="1" ht="13.5">
      <c r="A47" s="22">
        <f t="shared" si="0"/>
        <v>45</v>
      </c>
      <c r="B47" s="145"/>
      <c r="C47" s="145"/>
      <c r="D47" s="145"/>
      <c r="E47" s="94" t="s">
        <v>105</v>
      </c>
      <c r="F47" s="47" t="s">
        <v>106</v>
      </c>
      <c r="G47" s="86" t="s">
        <v>233</v>
      </c>
      <c r="H47" s="86" t="s">
        <v>50</v>
      </c>
      <c r="I47" s="23"/>
    </row>
    <row r="48" spans="1:9" s="12" customFormat="1" ht="13.5">
      <c r="A48" s="22">
        <f t="shared" si="0"/>
        <v>46</v>
      </c>
      <c r="B48" s="145"/>
      <c r="C48" s="145"/>
      <c r="D48" s="145"/>
      <c r="E48" s="143" t="s">
        <v>292</v>
      </c>
      <c r="F48" s="47" t="s">
        <v>1</v>
      </c>
      <c r="G48" s="86" t="s">
        <v>233</v>
      </c>
      <c r="H48" s="86" t="s">
        <v>50</v>
      </c>
      <c r="I48" s="23"/>
    </row>
    <row r="49" spans="1:9" s="12" customFormat="1" ht="13.5">
      <c r="A49" s="22">
        <f t="shared" si="0"/>
        <v>47</v>
      </c>
      <c r="B49" s="145"/>
      <c r="C49" s="145"/>
      <c r="D49" s="145"/>
      <c r="E49" s="145"/>
      <c r="F49" s="47" t="s">
        <v>107</v>
      </c>
      <c r="G49" s="86" t="s">
        <v>233</v>
      </c>
      <c r="H49" s="86" t="s">
        <v>50</v>
      </c>
      <c r="I49" s="23"/>
    </row>
    <row r="50" spans="1:9" s="12" customFormat="1" ht="13.5">
      <c r="A50" s="22">
        <f t="shared" si="0"/>
        <v>48</v>
      </c>
      <c r="B50" s="145"/>
      <c r="C50" s="144"/>
      <c r="D50" s="144"/>
      <c r="E50" s="144"/>
      <c r="F50" s="47" t="s">
        <v>108</v>
      </c>
      <c r="G50" s="86" t="s">
        <v>233</v>
      </c>
      <c r="H50" s="86" t="s">
        <v>50</v>
      </c>
      <c r="I50" s="116"/>
    </row>
    <row r="51" spans="1:9" s="12" customFormat="1" ht="13.5">
      <c r="A51" s="22">
        <f t="shared" si="0"/>
        <v>49</v>
      </c>
      <c r="B51" s="143" t="s">
        <v>109</v>
      </c>
      <c r="C51" s="143" t="s">
        <v>40</v>
      </c>
      <c r="D51" s="143" t="s">
        <v>2</v>
      </c>
      <c r="E51" s="143" t="s">
        <v>110</v>
      </c>
      <c r="F51" s="47" t="s">
        <v>111</v>
      </c>
      <c r="G51" s="86" t="s">
        <v>233</v>
      </c>
      <c r="H51" s="86" t="s">
        <v>50</v>
      </c>
      <c r="I51" s="47"/>
    </row>
    <row r="52" spans="1:9" s="12" customFormat="1" ht="13.5">
      <c r="A52" s="22">
        <f t="shared" si="0"/>
        <v>50</v>
      </c>
      <c r="B52" s="145"/>
      <c r="C52" s="145"/>
      <c r="D52" s="145"/>
      <c r="E52" s="145"/>
      <c r="F52" s="47" t="s">
        <v>112</v>
      </c>
      <c r="G52" s="86" t="s">
        <v>233</v>
      </c>
      <c r="H52" s="119" t="s">
        <v>234</v>
      </c>
      <c r="I52" s="106"/>
    </row>
    <row r="53" spans="1:9" s="12" customFormat="1" ht="13.5">
      <c r="A53" s="22">
        <f t="shared" si="0"/>
        <v>51</v>
      </c>
      <c r="B53" s="145"/>
      <c r="C53" s="145"/>
      <c r="D53" s="145"/>
      <c r="E53" s="145"/>
      <c r="F53" s="47" t="s">
        <v>113</v>
      </c>
      <c r="G53" s="86" t="s">
        <v>233</v>
      </c>
      <c r="H53" s="86" t="s">
        <v>50</v>
      </c>
      <c r="I53" s="106"/>
    </row>
    <row r="54" spans="1:9" s="12" customFormat="1" ht="13.5">
      <c r="A54" s="22">
        <f t="shared" si="0"/>
        <v>52</v>
      </c>
      <c r="B54" s="145"/>
      <c r="C54" s="145"/>
      <c r="D54" s="145"/>
      <c r="E54" s="145"/>
      <c r="F54" s="47" t="s">
        <v>114</v>
      </c>
      <c r="G54" s="86" t="s">
        <v>233</v>
      </c>
      <c r="H54" s="86" t="s">
        <v>50</v>
      </c>
      <c r="I54" s="106"/>
    </row>
    <row r="55" spans="1:9" s="12" customFormat="1" ht="13.5">
      <c r="A55" s="22">
        <f t="shared" si="0"/>
        <v>53</v>
      </c>
      <c r="B55" s="145"/>
      <c r="C55" s="145"/>
      <c r="D55" s="145"/>
      <c r="E55" s="145"/>
      <c r="F55" s="47" t="s">
        <v>149</v>
      </c>
      <c r="G55" s="86" t="s">
        <v>233</v>
      </c>
      <c r="H55" s="86" t="s">
        <v>50</v>
      </c>
      <c r="I55" s="106"/>
    </row>
    <row r="56" spans="1:9" s="12" customFormat="1" ht="13.5">
      <c r="A56" s="22">
        <f t="shared" si="0"/>
        <v>54</v>
      </c>
      <c r="B56" s="145"/>
      <c r="C56" s="145"/>
      <c r="D56" s="145"/>
      <c r="E56" s="144"/>
      <c r="F56" s="47" t="s">
        <v>42</v>
      </c>
      <c r="G56" s="86" t="s">
        <v>233</v>
      </c>
      <c r="H56" s="22" t="s">
        <v>234</v>
      </c>
      <c r="I56" s="106"/>
    </row>
    <row r="57" spans="1:9" s="12" customFormat="1" ht="13.5">
      <c r="A57" s="22">
        <f t="shared" si="0"/>
        <v>55</v>
      </c>
      <c r="B57" s="145"/>
      <c r="C57" s="145"/>
      <c r="D57" s="145"/>
      <c r="E57" s="143" t="s">
        <v>115</v>
      </c>
      <c r="F57" s="47" t="s">
        <v>116</v>
      </c>
      <c r="G57" s="86" t="s">
        <v>233</v>
      </c>
      <c r="H57" s="86" t="s">
        <v>50</v>
      </c>
      <c r="I57" s="47"/>
    </row>
    <row r="58" spans="1:9" s="12" customFormat="1" ht="13.5">
      <c r="A58" s="22">
        <f t="shared" si="0"/>
        <v>56</v>
      </c>
      <c r="B58" s="145"/>
      <c r="C58" s="145"/>
      <c r="D58" s="145"/>
      <c r="E58" s="145"/>
      <c r="F58" s="47" t="s">
        <v>117</v>
      </c>
      <c r="G58" s="86" t="s">
        <v>233</v>
      </c>
      <c r="H58" s="119" t="s">
        <v>234</v>
      </c>
      <c r="I58" s="112"/>
    </row>
    <row r="59" spans="1:9" s="12" customFormat="1" ht="13.5">
      <c r="A59" s="22">
        <f t="shared" si="0"/>
        <v>57</v>
      </c>
      <c r="B59" s="145"/>
      <c r="C59" s="145"/>
      <c r="D59" s="145"/>
      <c r="E59" s="145"/>
      <c r="F59" s="47" t="s">
        <v>118</v>
      </c>
      <c r="G59" s="86" t="s">
        <v>233</v>
      </c>
      <c r="H59" s="86" t="s">
        <v>50</v>
      </c>
      <c r="I59" s="47"/>
    </row>
    <row r="60" spans="1:9" s="12" customFormat="1" ht="13.5">
      <c r="A60" s="22">
        <f t="shared" si="0"/>
        <v>58</v>
      </c>
      <c r="B60" s="145"/>
      <c r="C60" s="145"/>
      <c r="D60" s="145"/>
      <c r="E60" s="145"/>
      <c r="F60" s="47" t="s">
        <v>119</v>
      </c>
      <c r="G60" s="86" t="s">
        <v>233</v>
      </c>
      <c r="H60" s="22" t="s">
        <v>234</v>
      </c>
      <c r="I60" s="47"/>
    </row>
    <row r="61" spans="1:9" s="12" customFormat="1" ht="13.5">
      <c r="A61" s="22">
        <f t="shared" si="0"/>
        <v>59</v>
      </c>
      <c r="B61" s="145"/>
      <c r="C61" s="145"/>
      <c r="D61" s="144"/>
      <c r="E61" s="144"/>
      <c r="F61" s="47" t="s">
        <v>120</v>
      </c>
      <c r="G61" s="86" t="s">
        <v>233</v>
      </c>
      <c r="H61" s="22" t="s">
        <v>50</v>
      </c>
      <c r="I61" s="47"/>
    </row>
    <row r="62" spans="1:9" s="12" customFormat="1" ht="13.5">
      <c r="A62" s="22">
        <f t="shared" si="0"/>
        <v>60</v>
      </c>
      <c r="B62" s="145"/>
      <c r="C62" s="145"/>
      <c r="D62" s="143" t="s">
        <v>58</v>
      </c>
      <c r="E62" s="143" t="s">
        <v>121</v>
      </c>
      <c r="F62" s="47" t="s">
        <v>122</v>
      </c>
      <c r="G62" s="86" t="s">
        <v>233</v>
      </c>
      <c r="H62" s="86" t="s">
        <v>50</v>
      </c>
      <c r="I62" s="23"/>
    </row>
    <row r="63" spans="1:9" s="12" customFormat="1" ht="13.5">
      <c r="A63" s="22">
        <f t="shared" si="0"/>
        <v>61</v>
      </c>
      <c r="B63" s="145"/>
      <c r="C63" s="145"/>
      <c r="D63" s="145"/>
      <c r="E63" s="145"/>
      <c r="F63" s="47" t="s">
        <v>53</v>
      </c>
      <c r="G63" s="86" t="s">
        <v>233</v>
      </c>
      <c r="H63" s="86" t="s">
        <v>50</v>
      </c>
      <c r="I63" s="47"/>
    </row>
    <row r="64" spans="1:9" s="12" customFormat="1" ht="13.5">
      <c r="A64" s="22">
        <f t="shared" ref="A64" si="1">ROW(A64)-2</f>
        <v>62</v>
      </c>
      <c r="B64" s="144"/>
      <c r="C64" s="144"/>
      <c r="D64" s="144"/>
      <c r="E64" s="144"/>
      <c r="F64" s="47" t="s">
        <v>123</v>
      </c>
      <c r="G64" s="86" t="s">
        <v>233</v>
      </c>
      <c r="H64" s="86" t="s">
        <v>50</v>
      </c>
      <c r="I64" s="47"/>
    </row>
  </sheetData>
  <autoFilter ref="A2:I64" xr:uid="{00000000-0009-0000-0000-000005000000}"/>
  <mergeCells count="51">
    <mergeCell ref="G1:I1"/>
    <mergeCell ref="A1:A2"/>
    <mergeCell ref="B1:B2"/>
    <mergeCell ref="C1:C2"/>
    <mergeCell ref="D1:D2"/>
    <mergeCell ref="E1:E2"/>
    <mergeCell ref="F1:F2"/>
    <mergeCell ref="B3:B12"/>
    <mergeCell ref="C3:C12"/>
    <mergeCell ref="D3:D10"/>
    <mergeCell ref="E3:E10"/>
    <mergeCell ref="E11:E12"/>
    <mergeCell ref="D11:D12"/>
    <mergeCell ref="B13:B36"/>
    <mergeCell ref="C13:C17"/>
    <mergeCell ref="D13:D17"/>
    <mergeCell ref="E14:E17"/>
    <mergeCell ref="C18:C23"/>
    <mergeCell ref="D18:D19"/>
    <mergeCell ref="D20:D23"/>
    <mergeCell ref="E18:E19"/>
    <mergeCell ref="E20:E21"/>
    <mergeCell ref="E22:E23"/>
    <mergeCell ref="C24:C28"/>
    <mergeCell ref="D24:D28"/>
    <mergeCell ref="E24:E27"/>
    <mergeCell ref="C29:C34"/>
    <mergeCell ref="D29:D32"/>
    <mergeCell ref="D33:D34"/>
    <mergeCell ref="E29:E32"/>
    <mergeCell ref="E33:E34"/>
    <mergeCell ref="C35:C36"/>
    <mergeCell ref="D35:D36"/>
    <mergeCell ref="E35:E36"/>
    <mergeCell ref="B37:B50"/>
    <mergeCell ref="C37:C43"/>
    <mergeCell ref="D37:D39"/>
    <mergeCell ref="D40:D43"/>
    <mergeCell ref="E37:E39"/>
    <mergeCell ref="E40:E42"/>
    <mergeCell ref="C44:C45"/>
    <mergeCell ref="C46:C50"/>
    <mergeCell ref="D46:D50"/>
    <mergeCell ref="E48:E50"/>
    <mergeCell ref="B51:B64"/>
    <mergeCell ref="C51:C64"/>
    <mergeCell ref="D51:D61"/>
    <mergeCell ref="D62:D64"/>
    <mergeCell ref="E51:E56"/>
    <mergeCell ref="E57:E61"/>
    <mergeCell ref="E62:E64"/>
  </mergeCells>
  <phoneticPr fontId="11" type="noConversion"/>
  <conditionalFormatting sqref="I47 I4 I63:I64 F53:F54 D62:F62 D40:F40 I14:I15 H29:I29 I30:I32 I22:I28 H30:H33 F29:F31 A37:E37 H55 I57:I61 H7:I8 I17:I20 A13:F13 H15 A3:G3 H46:I46 H37:I39 I40 B51:F51 A4:A8 F4:F5 F7:F8 A14:A20 C18:F18 A22:A36 C29:E29 C24:F24 E14:F14 F15:F17 E22:F22 D20:F20 F19 F23 E28:F28 F25:F27 C35:F35 D33:E33 F36 C44:F44 E43:F43 F41 C46:F46 D45:F45 E47:F48 F49:F50 I51 E57:F57 F63:F64 F56 F58:F61 A38:A64 G4:G64">
    <cfRule type="expression" dxfId="105" priority="117">
      <formula>IF(AND($H3="N/A", $I3=""), TRUE, FALSE)</formula>
    </cfRule>
    <cfRule type="expression" dxfId="104" priority="118">
      <formula>IF(AND($H3="N/A", $I3&lt;&gt;""), TRUE, FALSE)</formula>
    </cfRule>
  </conditionalFormatting>
  <conditionalFormatting sqref="F55">
    <cfRule type="expression" dxfId="103" priority="115">
      <formula>IF(AND($H55="N/A", $I55=""), TRUE, FALSE)</formula>
    </cfRule>
    <cfRule type="expression" dxfId="102" priority="116">
      <formula>IF(AND($H55="N/A", $I55&lt;&gt;""), TRUE, FALSE)</formula>
    </cfRule>
  </conditionalFormatting>
  <conditionalFormatting sqref="I5">
    <cfRule type="expression" dxfId="101" priority="113">
      <formula>IF(AND($H5="N/A", $I5=""), TRUE, FALSE)</formula>
    </cfRule>
    <cfRule type="expression" dxfId="100" priority="114">
      <formula>IF(AND($H5="N/A", $I5&lt;&gt;""), TRUE, FALSE)</formula>
    </cfRule>
  </conditionalFormatting>
  <conditionalFormatting sqref="I16">
    <cfRule type="expression" dxfId="99" priority="111">
      <formula>IF(AND($H16="N/A", $I16=""), TRUE, FALSE)</formula>
    </cfRule>
    <cfRule type="expression" dxfId="98" priority="112">
      <formula>IF(AND($H16="N/A", $I16&lt;&gt;""), TRUE, FALSE)</formula>
    </cfRule>
  </conditionalFormatting>
  <conditionalFormatting sqref="H3:H5 H41 H47:H51 H43:H45 H62:H64 H53:H54 H57 H59">
    <cfRule type="expression" dxfId="97" priority="109">
      <formula>IF(AND($H3="N/A", $I3=""), TRUE, FALSE)</formula>
    </cfRule>
    <cfRule type="expression" dxfId="96" priority="110">
      <formula>IF(AND($H3="N/A", $I3&lt;&gt;""), TRUE, FALSE)</formula>
    </cfRule>
  </conditionalFormatting>
  <conditionalFormatting sqref="I62">
    <cfRule type="expression" dxfId="95" priority="107">
      <formula>IF(AND($H62="N/A", $I62=""), TRUE, FALSE)</formula>
    </cfRule>
    <cfRule type="expression" dxfId="94" priority="108">
      <formula>IF(AND($H62="N/A", $I62&lt;&gt;""), TRUE, FALSE)</formula>
    </cfRule>
  </conditionalFormatting>
  <conditionalFormatting sqref="I33">
    <cfRule type="expression" dxfId="93" priority="105">
      <formula>IF(AND($H33="N/A", $I33=""), TRUE, FALSE)</formula>
    </cfRule>
    <cfRule type="expression" dxfId="92" priority="106">
      <formula>IF(AND($H33="N/A", $I33&lt;&gt;""), TRUE, FALSE)</formula>
    </cfRule>
  </conditionalFormatting>
  <conditionalFormatting sqref="I41 I43">
    <cfRule type="expression" dxfId="91" priority="103">
      <formula>IF(AND($H41="N/A", $I41=""), TRUE, FALSE)</formula>
    </cfRule>
    <cfRule type="expression" dxfId="90" priority="104">
      <formula>IF(AND($H41="N/A", $I41&lt;&gt;""), TRUE, FALSE)</formula>
    </cfRule>
  </conditionalFormatting>
  <conditionalFormatting sqref="I44">
    <cfRule type="expression" dxfId="89" priority="101">
      <formula>IF(AND($H44="N/A", $I44=""), TRUE, FALSE)</formula>
    </cfRule>
    <cfRule type="expression" dxfId="88" priority="102">
      <formula>IF(AND($H44="N/A", $I44&lt;&gt;""), TRUE, FALSE)</formula>
    </cfRule>
  </conditionalFormatting>
  <conditionalFormatting sqref="I45">
    <cfRule type="expression" dxfId="87" priority="99">
      <formula>IF(AND($H45="N/A", $I45=""), TRUE, FALSE)</formula>
    </cfRule>
    <cfRule type="expression" dxfId="86" priority="100">
      <formula>IF(AND($H45="N/A", $I45&lt;&gt;""), TRUE, FALSE)</formula>
    </cfRule>
  </conditionalFormatting>
  <conditionalFormatting sqref="I48:I49">
    <cfRule type="expression" dxfId="85" priority="97">
      <formula>IF(AND($H48="N/A", $I48=""), TRUE, FALSE)</formula>
    </cfRule>
    <cfRule type="expression" dxfId="84" priority="98">
      <formula>IF(AND($H48="N/A", $I48&lt;&gt;""), TRUE, FALSE)</formula>
    </cfRule>
  </conditionalFormatting>
  <conditionalFormatting sqref="I50">
    <cfRule type="expression" dxfId="83" priority="95">
      <formula>IF(AND($H50="N/A", $I50=""), TRUE, FALSE)</formula>
    </cfRule>
    <cfRule type="expression" dxfId="82" priority="96">
      <formula>IF(AND($H50="N/A", $I50&lt;&gt;""), TRUE, FALSE)</formula>
    </cfRule>
  </conditionalFormatting>
  <conditionalFormatting sqref="I9 A9 F9">
    <cfRule type="expression" dxfId="81" priority="93">
      <formula>IF(AND($H9="N/A", $I9=""), TRUE, FALSE)</formula>
    </cfRule>
    <cfRule type="expression" dxfId="80" priority="94">
      <formula>IF(AND($H9="N/A", $I9&lt;&gt;""), TRUE, FALSE)</formula>
    </cfRule>
  </conditionalFormatting>
  <conditionalFormatting sqref="H10">
    <cfRule type="expression" dxfId="79" priority="87">
      <formula>IF(AND($H10="N/A", $I10=""), TRUE, FALSE)</formula>
    </cfRule>
    <cfRule type="expression" dxfId="78" priority="88">
      <formula>IF(AND($H10="N/A", $I10&lt;&gt;""), TRUE, FALSE)</formula>
    </cfRule>
  </conditionalFormatting>
  <conditionalFormatting sqref="I10 A10 F10">
    <cfRule type="expression" dxfId="77" priority="89">
      <formula>IF(AND($H10="N/A", $I10=""), TRUE, FALSE)</formula>
    </cfRule>
    <cfRule type="expression" dxfId="76" priority="90">
      <formula>IF(AND($H10="N/A", $I10&lt;&gt;""), TRUE, FALSE)</formula>
    </cfRule>
  </conditionalFormatting>
  <conditionalFormatting sqref="F42 I42">
    <cfRule type="expression" dxfId="75" priority="85">
      <formula>IF(AND($H42="N/A", $I42=""), TRUE, FALSE)</formula>
    </cfRule>
    <cfRule type="expression" dxfId="74" priority="86">
      <formula>IF(AND($H42="N/A", $I42&lt;&gt;""), TRUE, FALSE)</formula>
    </cfRule>
  </conditionalFormatting>
  <conditionalFormatting sqref="F52 H53:H54 I52">
    <cfRule type="expression" dxfId="73" priority="81">
      <formula>IF(AND($H52="N/A", $I52=""), TRUE, FALSE)</formula>
    </cfRule>
    <cfRule type="expression" dxfId="72" priority="82">
      <formula>IF(AND($H52="N/A", $I52&lt;&gt;""), TRUE, FALSE)</formula>
    </cfRule>
  </conditionalFormatting>
  <conditionalFormatting sqref="H6">
    <cfRule type="expression" dxfId="71" priority="79">
      <formula>IF(AND($H6="N/A", $I6=""), TRUE, FALSE)</formula>
    </cfRule>
    <cfRule type="expression" dxfId="70" priority="80">
      <formula>IF(AND($H6="N/A", $I6&lt;&gt;""), TRUE, FALSE)</formula>
    </cfRule>
  </conditionalFormatting>
  <conditionalFormatting sqref="I11">
    <cfRule type="expression" dxfId="69" priority="119">
      <formula>IF(AND($H12="N/A", $I11=""), TRUE, FALSE)</formula>
    </cfRule>
    <cfRule type="expression" dxfId="68" priority="120">
      <formula>IF(AND($H12="N/A", $I11&lt;&gt;""), TRUE, FALSE)</formula>
    </cfRule>
  </conditionalFormatting>
  <conditionalFormatting sqref="A12 F12">
    <cfRule type="expression" dxfId="67" priority="121">
      <formula>IF(AND($H12="N/A", $I11=""), TRUE, FALSE)</formula>
    </cfRule>
    <cfRule type="expression" dxfId="66" priority="122">
      <formula>IF(AND($H12="N/A", $I11&lt;&gt;""), TRUE, FALSE)</formula>
    </cfRule>
  </conditionalFormatting>
  <conditionalFormatting sqref="A11 F11">
    <cfRule type="expression" dxfId="65" priority="123">
      <formula>IF(AND($H11="N/A", #REF!=""), TRUE, FALSE)</formula>
    </cfRule>
    <cfRule type="expression" dxfId="64" priority="124">
      <formula>IF(AND($H11="N/A", #REF!&lt;&gt;""), TRUE, FALSE)</formula>
    </cfRule>
  </conditionalFormatting>
  <conditionalFormatting sqref="D11:E11">
    <cfRule type="expression" dxfId="63" priority="77">
      <formula>IF(AND($H11="N/A", #REF!=""), TRUE, FALSE)</formula>
    </cfRule>
    <cfRule type="expression" dxfId="62" priority="78">
      <formula>IF(AND($H11="N/A", #REF!&lt;&gt;""), TRUE, FALSE)</formula>
    </cfRule>
  </conditionalFormatting>
  <conditionalFormatting sqref="F32">
    <cfRule type="expression" dxfId="61" priority="71">
      <formula>IF(AND($H32="N/A", $I32=""), TRUE, FALSE)</formula>
    </cfRule>
    <cfRule type="expression" dxfId="60" priority="72">
      <formula>IF(AND($H32="N/A", $I32&lt;&gt;""), TRUE, FALSE)</formula>
    </cfRule>
  </conditionalFormatting>
  <conditionalFormatting sqref="A21 I21 F21">
    <cfRule type="expression" dxfId="59" priority="69">
      <formula>IF(AND($H21="N/A", $I21=""), TRUE, FALSE)</formula>
    </cfRule>
    <cfRule type="expression" dxfId="58" priority="70">
      <formula>IF(AND($H21="N/A", $I21&lt;&gt;""), TRUE, FALSE)</formula>
    </cfRule>
  </conditionalFormatting>
  <conditionalFormatting sqref="H34">
    <cfRule type="expression" dxfId="57" priority="67">
      <formula>IF(AND($H34="N/A", $I34=""), TRUE, FALSE)</formula>
    </cfRule>
    <cfRule type="expression" dxfId="56" priority="68">
      <formula>IF(AND($H34="N/A", $I34&lt;&gt;""), TRUE, FALSE)</formula>
    </cfRule>
  </conditionalFormatting>
  <conditionalFormatting sqref="I34">
    <cfRule type="expression" dxfId="55" priority="65">
      <formula>IF(AND($H34="N/A", $I34=""), TRUE, FALSE)</formula>
    </cfRule>
    <cfRule type="expression" dxfId="54" priority="66">
      <formula>IF(AND($H34="N/A", $I34&lt;&gt;""), TRUE, FALSE)</formula>
    </cfRule>
  </conditionalFormatting>
  <conditionalFormatting sqref="F33 F37:F38">
    <cfRule type="expression" dxfId="53" priority="63">
      <formula>IF(AND($H34="N/A", $I34=""), TRUE, FALSE)</formula>
    </cfRule>
    <cfRule type="expression" dxfId="52" priority="64">
      <formula>IF(AND($H34="N/A", $I34&lt;&gt;""), TRUE, FALSE)</formula>
    </cfRule>
  </conditionalFormatting>
  <conditionalFormatting sqref="H42">
    <cfRule type="expression" dxfId="51" priority="61">
      <formula>IF(AND($H42="N/A", $I42=""), TRUE, FALSE)</formula>
    </cfRule>
    <cfRule type="expression" dxfId="50" priority="62">
      <formula>IF(AND($H42="N/A", $I42&lt;&gt;""), TRUE, FALSE)</formula>
    </cfRule>
  </conditionalFormatting>
  <conditionalFormatting sqref="H11">
    <cfRule type="expression" dxfId="49" priority="59">
      <formula>IF(AND($H11="N/A", $I11=""), TRUE, FALSE)</formula>
    </cfRule>
    <cfRule type="expression" dxfId="48" priority="60">
      <formula>IF(AND($H11="N/A", $I11&lt;&gt;""), TRUE, FALSE)</formula>
    </cfRule>
  </conditionalFormatting>
  <conditionalFormatting sqref="H12">
    <cfRule type="expression" dxfId="47" priority="57">
      <formula>IF(AND($H12="N/A", $I12=""), TRUE, FALSE)</formula>
    </cfRule>
    <cfRule type="expression" dxfId="46" priority="58">
      <formula>IF(AND($H12="N/A", $I12&lt;&gt;""), TRUE, FALSE)</formula>
    </cfRule>
  </conditionalFormatting>
  <conditionalFormatting sqref="F34 F39">
    <cfRule type="expression" dxfId="45" priority="125">
      <formula>IF(AND(#REF!="N/A", #REF!=""), TRUE, FALSE)</formula>
    </cfRule>
    <cfRule type="expression" dxfId="44" priority="126">
      <formula>IF(AND(#REF!="N/A", #REF!&lt;&gt;""), TRUE, FALSE)</formula>
    </cfRule>
  </conditionalFormatting>
  <conditionalFormatting sqref="H22">
    <cfRule type="expression" dxfId="43" priority="47">
      <formula>IF(AND($H22="N/A", $I22=""), TRUE, FALSE)</formula>
    </cfRule>
    <cfRule type="expression" dxfId="42" priority="48">
      <formula>IF(AND($H22="N/A", $I22&lt;&gt;""), TRUE, FALSE)</formula>
    </cfRule>
  </conditionalFormatting>
  <conditionalFormatting sqref="H24">
    <cfRule type="expression" dxfId="41" priority="45">
      <formula>IF(AND($H24="N/A", $I24=""), TRUE, FALSE)</formula>
    </cfRule>
    <cfRule type="expression" dxfId="40" priority="46">
      <formula>IF(AND($H24="N/A", $I24&lt;&gt;""), TRUE, FALSE)</formula>
    </cfRule>
  </conditionalFormatting>
  <conditionalFormatting sqref="H61">
    <cfRule type="expression" dxfId="39" priority="43">
      <formula>IF(AND($H61="N/A", $I61=""), TRUE, FALSE)</formula>
    </cfRule>
    <cfRule type="expression" dxfId="38" priority="44">
      <formula>IF(AND($H61="N/A", $I61&lt;&gt;""), TRUE, FALSE)</formula>
    </cfRule>
  </conditionalFormatting>
  <conditionalFormatting sqref="H40">
    <cfRule type="expression" dxfId="37" priority="41">
      <formula>IF(AND($H40="N/A", $I40=""), TRUE, FALSE)</formula>
    </cfRule>
    <cfRule type="expression" dxfId="36" priority="42">
      <formula>IF(AND($H40="N/A", $I40&lt;&gt;""), TRUE, FALSE)</formula>
    </cfRule>
  </conditionalFormatting>
  <conditionalFormatting sqref="H23">
    <cfRule type="expression" dxfId="35" priority="39">
      <formula>IF(AND($H23="N/A", $I23=""), TRUE, FALSE)</formula>
    </cfRule>
    <cfRule type="expression" dxfId="34" priority="40">
      <formula>IF(AND($H23="N/A", $I23&lt;&gt;""), TRUE, FALSE)</formula>
    </cfRule>
  </conditionalFormatting>
  <conditionalFormatting sqref="H20">
    <cfRule type="expression" dxfId="33" priority="37">
      <formula>IF(AND($H20="N/A", $I20=""), TRUE, FALSE)</formula>
    </cfRule>
    <cfRule type="expression" dxfId="32" priority="38">
      <formula>IF(AND($H20="N/A", $I20&lt;&gt;""), TRUE, FALSE)</formula>
    </cfRule>
  </conditionalFormatting>
  <conditionalFormatting sqref="H21">
    <cfRule type="expression" dxfId="31" priority="35">
      <formula>IF(AND($H21="N/A", $I21=""), TRUE, FALSE)</formula>
    </cfRule>
    <cfRule type="expression" dxfId="30" priority="36">
      <formula>IF(AND($H21="N/A", $I21&lt;&gt;""), TRUE, FALSE)</formula>
    </cfRule>
  </conditionalFormatting>
  <conditionalFormatting sqref="H18">
    <cfRule type="expression" dxfId="29" priority="33">
      <formula>IF(AND($H18="N/A", $I18=""), TRUE, FALSE)</formula>
    </cfRule>
    <cfRule type="expression" dxfId="28" priority="34">
      <formula>IF(AND($H18="N/A", $I18&lt;&gt;""), TRUE, FALSE)</formula>
    </cfRule>
  </conditionalFormatting>
  <conditionalFormatting sqref="H25">
    <cfRule type="expression" dxfId="27" priority="31">
      <formula>IF(AND($H25="N/A", $I25=""), TRUE, FALSE)</formula>
    </cfRule>
    <cfRule type="expression" dxfId="26" priority="32">
      <formula>IF(AND($H25="N/A", $I25&lt;&gt;""), TRUE, FALSE)</formula>
    </cfRule>
  </conditionalFormatting>
  <conditionalFormatting sqref="H26">
    <cfRule type="expression" dxfId="25" priority="29">
      <formula>IF(AND($H26="N/A", $I26=""), TRUE, FALSE)</formula>
    </cfRule>
    <cfRule type="expression" dxfId="24" priority="30">
      <formula>IF(AND($H26="N/A", $I26&lt;&gt;""), TRUE, FALSE)</formula>
    </cfRule>
  </conditionalFormatting>
  <conditionalFormatting sqref="H27">
    <cfRule type="expression" dxfId="23" priority="27">
      <formula>IF(AND($H27="N/A", $I27=""), TRUE, FALSE)</formula>
    </cfRule>
    <cfRule type="expression" dxfId="22" priority="28">
      <formula>IF(AND($H27="N/A", $I27&lt;&gt;""), TRUE, FALSE)</formula>
    </cfRule>
  </conditionalFormatting>
  <conditionalFormatting sqref="H28">
    <cfRule type="expression" dxfId="21" priority="25">
      <formula>IF(AND($H28="N/A", $I28=""), TRUE, FALSE)</formula>
    </cfRule>
    <cfRule type="expression" dxfId="20" priority="26">
      <formula>IF(AND($H28="N/A", $I28&lt;&gt;""), TRUE, FALSE)</formula>
    </cfRule>
  </conditionalFormatting>
  <conditionalFormatting sqref="H60">
    <cfRule type="expression" dxfId="19" priority="23">
      <formula>IF(AND($H60="N/A", $I60=""), TRUE, FALSE)</formula>
    </cfRule>
    <cfRule type="expression" dxfId="18" priority="24">
      <formula>IF(AND($H60="N/A", $I60&lt;&gt;""), TRUE, FALSE)</formula>
    </cfRule>
  </conditionalFormatting>
  <conditionalFormatting sqref="H56">
    <cfRule type="expression" dxfId="17" priority="21">
      <formula>IF(AND($H56="N/A", $I56=""), TRUE, FALSE)</formula>
    </cfRule>
    <cfRule type="expression" dxfId="16" priority="22">
      <formula>IF(AND($H56="N/A", $I56&lt;&gt;""), TRUE, FALSE)</formula>
    </cfRule>
  </conditionalFormatting>
  <conditionalFormatting sqref="H9">
    <cfRule type="expression" dxfId="15" priority="15">
      <formula>IF(AND($H9="N/A", $I9=""), TRUE, FALSE)</formula>
    </cfRule>
    <cfRule type="expression" dxfId="14" priority="16">
      <formula>IF(AND($H9="N/A", $I9&lt;&gt;""), TRUE, FALSE)</formula>
    </cfRule>
  </conditionalFormatting>
  <conditionalFormatting sqref="H16:H17">
    <cfRule type="expression" dxfId="13" priority="13">
      <formula>IF(AND($H16="N/A", $I16=""), TRUE, FALSE)</formula>
    </cfRule>
    <cfRule type="expression" dxfId="12" priority="14">
      <formula>IF(AND($H16="N/A", $I16&lt;&gt;""), TRUE, FALSE)</formula>
    </cfRule>
  </conditionalFormatting>
  <conditionalFormatting sqref="H19">
    <cfRule type="expression" dxfId="11" priority="11">
      <formula>IF(AND($H19="N/A", $I19=""), TRUE, FALSE)</formula>
    </cfRule>
    <cfRule type="expression" dxfId="10" priority="12">
      <formula>IF(AND($H19="N/A", $I19&lt;&gt;""), TRUE, FALSE)</formula>
    </cfRule>
  </conditionalFormatting>
  <conditionalFormatting sqref="I35:I36">
    <cfRule type="expression" dxfId="9" priority="9">
      <formula>IF(AND($H35="N/A", $I35=""), TRUE, FALSE)</formula>
    </cfRule>
    <cfRule type="expression" dxfId="8" priority="10">
      <formula>IF(AND($H35="N/A", $I35&lt;&gt;""), TRUE, FALSE)</formula>
    </cfRule>
  </conditionalFormatting>
  <conditionalFormatting sqref="H35">
    <cfRule type="expression" dxfId="7" priority="7">
      <formula>IF(AND($H35="N/A", $I35=""), TRUE, FALSE)</formula>
    </cfRule>
    <cfRule type="expression" dxfId="6" priority="8">
      <formula>IF(AND($H35="N/A", $I35&lt;&gt;""), TRUE, FALSE)</formula>
    </cfRule>
  </conditionalFormatting>
  <conditionalFormatting sqref="H36">
    <cfRule type="expression" dxfId="5" priority="5">
      <formula>IF(AND($H36="N/A", $I36=""), TRUE, FALSE)</formula>
    </cfRule>
    <cfRule type="expression" dxfId="4" priority="6">
      <formula>IF(AND($H36="N/A", $I36&lt;&gt;""), TRUE, FALSE)</formula>
    </cfRule>
  </conditionalFormatting>
  <conditionalFormatting sqref="H52">
    <cfRule type="expression" dxfId="3" priority="3">
      <formula>IF(AND($H52="N/A", $I52=""), TRUE, FALSE)</formula>
    </cfRule>
    <cfRule type="expression" dxfId="2" priority="4">
      <formula>IF(AND($H52="N/A", $I52&lt;&gt;""), TRUE, FALSE)</formula>
    </cfRule>
  </conditionalFormatting>
  <conditionalFormatting sqref="H58">
    <cfRule type="expression" dxfId="1" priority="1">
      <formula>IF(AND($H58="N/A", $I58=""), TRUE, FALSE)</formula>
    </cfRule>
    <cfRule type="expression" dxfId="0" priority="2">
      <formula>IF(AND($H58="N/A", $I58&lt;&gt;""), TRUE, FALSE)</formula>
    </cfRule>
  </conditionalFormatting>
  <dataValidations count="3">
    <dataValidation type="list" allowBlank="1" showInputMessage="1" showErrorMessage="1" sqref="H62:H64 H29 H13:H15 H44:H46 H3:H8 H10 H48:H51 H57 H59 H53:H55" xr:uid="{00000000-0002-0000-0500-000001000000}">
      <formula1>"필수"</formula1>
    </dataValidation>
    <dataValidation type="list" allowBlank="1" showInputMessage="1" showErrorMessage="1" sqref="H47 H60:H61 H11:H12 H30:H43 H56 H9 H16:H28 H52 H58" xr:uid="{00000000-0002-0000-0500-000002000000}">
      <formula1>"필수, 옵션, N/A"</formula1>
    </dataValidation>
    <dataValidation type="list" allowBlank="1" showInputMessage="1" showErrorMessage="1" sqref="G3:G64" xr:uid="{00000000-0002-0000-0500-000000000000}">
      <formula1>"적합, 일부적합, 부적합"</formula1>
    </dataValidation>
  </dataValidations>
  <pageMargins left="0.47244094488188981" right="0.47244094488188981" top="0.78740157480314965" bottom="0.78740157480314965" header="0.51181102362204722" footer="0.51181102362204722"/>
  <pageSetup paperSize="9" scale="71" fitToHeight="2" orientation="landscape" r:id="rId1"/>
  <headerFooter alignWithMargins="0">
    <oddHeader>&amp;L품질활동 체크리스트&amp;R개발관리</oddHeader>
    <oddFooter>&amp;C&amp;P/&amp;N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4"/>
  <sheetViews>
    <sheetView showGridLines="0" zoomScaleNormal="100" workbookViewId="0">
      <selection activeCell="D7" sqref="D7"/>
    </sheetView>
  </sheetViews>
  <sheetFormatPr defaultColWidth="8.88671875" defaultRowHeight="16.5" customHeight="1"/>
  <cols>
    <col min="1" max="1" width="11.44140625" style="14" customWidth="1"/>
    <col min="2" max="2" width="17.77734375" style="14" customWidth="1"/>
    <col min="3" max="9" width="13.33203125" style="14" customWidth="1"/>
    <col min="10" max="16384" width="8.88671875" style="14"/>
  </cols>
  <sheetData>
    <row r="1" spans="1:9" ht="24.75" customHeight="1" thickBot="1">
      <c r="A1" s="17" t="s">
        <v>48</v>
      </c>
      <c r="B1" s="20"/>
      <c r="C1" s="20"/>
      <c r="D1" s="20"/>
      <c r="E1" s="20"/>
      <c r="F1" s="20"/>
      <c r="G1" s="20"/>
      <c r="H1" s="20"/>
      <c r="I1" s="20"/>
    </row>
    <row r="2" spans="1:9" ht="16.5" customHeight="1">
      <c r="A2" s="38" t="s">
        <v>145</v>
      </c>
    </row>
    <row r="3" spans="1:9" ht="16.5" customHeight="1">
      <c r="A3" s="38" t="s">
        <v>146</v>
      </c>
    </row>
    <row r="4" spans="1:9" ht="16.5" customHeight="1">
      <c r="A4" s="38" t="s">
        <v>147</v>
      </c>
    </row>
    <row r="5" spans="1:9" ht="16.5" customHeight="1">
      <c r="A5" s="38" t="s">
        <v>143</v>
      </c>
    </row>
    <row r="6" spans="1:9" ht="16.5" customHeight="1">
      <c r="A6" s="38" t="s">
        <v>141</v>
      </c>
    </row>
    <row r="7" spans="1:9" ht="16.5" customHeight="1">
      <c r="A7" s="107" t="s">
        <v>270</v>
      </c>
    </row>
    <row r="8" spans="1:9" ht="16.5" customHeight="1">
      <c r="A8" s="38" t="s">
        <v>144</v>
      </c>
    </row>
    <row r="9" spans="1:9" ht="16.5" customHeight="1">
      <c r="A9" s="38" t="s">
        <v>142</v>
      </c>
    </row>
    <row r="10" spans="1:9" ht="16.5" customHeight="1">
      <c r="A10" s="44" t="s">
        <v>150</v>
      </c>
    </row>
    <row r="11" spans="1:9" ht="16.5" customHeight="1">
      <c r="A11" s="50" t="s">
        <v>161</v>
      </c>
    </row>
    <row r="12" spans="1:9" ht="16.5" customHeight="1">
      <c r="A12" s="50" t="s">
        <v>162</v>
      </c>
    </row>
    <row r="13" spans="1:9" ht="16.5" customHeight="1">
      <c r="A13" s="46" t="s">
        <v>152</v>
      </c>
    </row>
    <row r="14" spans="1:9" ht="16.5" customHeight="1">
      <c r="A14" s="38" t="s">
        <v>49</v>
      </c>
    </row>
    <row r="15" spans="1:9" ht="16.5" customHeight="1">
      <c r="A15" s="38"/>
    </row>
    <row r="23" spans="6:8" ht="16.5" customHeight="1">
      <c r="F23" s="38"/>
      <c r="G23" s="38"/>
      <c r="H23" s="38"/>
    </row>
    <row r="24" spans="6:8" ht="16.5" customHeight="1">
      <c r="G24" s="38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bb38__xc11c__x0020__xc124__xba85_ xmlns="43948bff-726e-45e2-94e4-3e2bbd1af57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98BD30986946D34D8B5BA5C83030A94E" ma:contentTypeVersion="5" ma:contentTypeDescription="새 문서를 만듭니다." ma:contentTypeScope="" ma:versionID="6f59880535c960a76ca1e2ef789838d6">
  <xsd:schema xmlns:xsd="http://www.w3.org/2001/XMLSchema" xmlns:xs="http://www.w3.org/2001/XMLSchema" xmlns:p="http://schemas.microsoft.com/office/2006/metadata/properties" xmlns:ns2="43948bff-726e-45e2-94e4-3e2bbd1af57c" targetNamespace="http://schemas.microsoft.com/office/2006/metadata/properties" ma:root="true" ma:fieldsID="d0865a59902b6840d800efb06f63aa3c" ns2:_="">
    <xsd:import namespace="43948bff-726e-45e2-94e4-3e2bbd1af57c"/>
    <xsd:element name="properties">
      <xsd:complexType>
        <xsd:sequence>
          <xsd:element name="documentManagement">
            <xsd:complexType>
              <xsd:all>
                <xsd:element ref="ns2:_xbb38__xc11c__x0020__xc124__xba85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948bff-726e-45e2-94e4-3e2bbd1af57c" elementFormDefault="qualified">
    <xsd:import namespace="http://schemas.microsoft.com/office/2006/documentManagement/types"/>
    <xsd:import namespace="http://schemas.microsoft.com/office/infopath/2007/PartnerControls"/>
    <xsd:element name="_xbb38__xc11c__x0020__xc124__xba85_" ma:index="8" nillable="true" ma:displayName="문서 설명" ma:internalName="_xbb38__xc11c__x0020__xc124__xba85_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D66CAD-93BF-419B-93ED-17292648E74D}">
  <ds:schemaRefs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purl.org/dc/elements/1.1/"/>
    <ds:schemaRef ds:uri="http://schemas.microsoft.com/office/2006/metadata/properties"/>
    <ds:schemaRef ds:uri="43948bff-726e-45e2-94e4-3e2bbd1af57c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5A2A30F-2396-4615-80BA-1FC65EE09B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948bff-726e-45e2-94e4-3e2bbd1af5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B8091FF-4D55-46ED-B0EA-321A48FC01A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표지</vt:lpstr>
      <vt:lpstr>개정이력</vt:lpstr>
      <vt:lpstr>품질활동계획</vt:lpstr>
      <vt:lpstr>점검결과 집계</vt:lpstr>
      <vt:lpstr>사업관리 체크리스트</vt:lpstr>
      <vt:lpstr>개발관리 체크리스트</vt:lpstr>
      <vt:lpstr>작성방법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박민수</dc:creator>
  <cp:lastModifiedBy>이철한</cp:lastModifiedBy>
  <cp:lastPrinted>2018-04-20T01:46:55Z</cp:lastPrinted>
  <dcterms:created xsi:type="dcterms:W3CDTF">2009-05-20T01:11:08Z</dcterms:created>
  <dcterms:modified xsi:type="dcterms:W3CDTF">2024-03-12T06:21:32Z</dcterms:modified>
</cp:coreProperties>
</file>