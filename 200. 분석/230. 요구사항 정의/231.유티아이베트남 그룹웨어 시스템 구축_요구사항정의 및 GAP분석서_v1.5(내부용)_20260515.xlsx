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docx" ContentType="application/vnd.openxmlformats-officedocument.wordprocessingml.document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42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C:\00.PROJECT\강민석_538 유티아이 베트남 그룹웨어 시스템 구축\200. 분석\230. 요구사항 정의\"/>
    </mc:Choice>
  </mc:AlternateContent>
  <xr:revisionPtr revIDLastSave="0" documentId="13_ncr:1_{AB31C6D7-EC38-4CCE-B26E-2C9AE69CF9C8}" xr6:coauthVersionLast="36" xr6:coauthVersionMax="36" xr10:uidLastSave="{00000000-0000-0000-0000-000000000000}"/>
  <bookViews>
    <workbookView xWindow="0" yWindow="0" windowWidth="17860" windowHeight="6600" tabRatio="965" activeTab="2" xr2:uid="{00000000-000D-0000-FFFF-FFFF00000000}"/>
  </bookViews>
  <sheets>
    <sheet name="표지" sheetId="139" r:id="rId1"/>
    <sheet name="협업" sheetId="145" r:id="rId2"/>
    <sheet name="전자결재" sheetId="146" r:id="rId3"/>
    <sheet name="웹메일" sheetId="147" r:id="rId4"/>
    <sheet name="Outlook Add-in" sheetId="162" r:id="rId5"/>
    <sheet name="조직도" sheetId="148" r:id="rId6"/>
    <sheet name="이음톡" sheetId="159" r:id="rId7"/>
    <sheet name="환경변수" sheetId="27" state="hidden" r:id="rId8"/>
  </sheets>
  <definedNames>
    <definedName name="_xlnm._FilterDatabase" localSheetId="4" hidden="1">'Outlook Add-in'!$A$5:$N$5</definedName>
    <definedName name="_xlnm._FilterDatabase" localSheetId="3" hidden="1">웹메일!$A$5:$O$5</definedName>
    <definedName name="_xlnm._FilterDatabase" localSheetId="6" hidden="1">이음톡!$A$5:$N$5</definedName>
    <definedName name="_xlnm._FilterDatabase" localSheetId="2" hidden="1">전자결재!$A$5:$O$5</definedName>
    <definedName name="_xlnm._FilterDatabase" localSheetId="5" hidden="1">조직도!$A$5:$O$5</definedName>
    <definedName name="_xlnm._FilterDatabase" localSheetId="1" hidden="1">협업!$A$5:$O$5</definedName>
    <definedName name="AA" localSheetId="4" hidden="1">{"'Sheet1'!$A$1:$J$57","'Sheet1'!$F$32:$F$35","'Sheet1'!$F$32:$F$36"}</definedName>
    <definedName name="AA" localSheetId="3" hidden="1">{"'Sheet1'!$A$1:$J$57","'Sheet1'!$F$32:$F$35","'Sheet1'!$F$32:$F$36"}</definedName>
    <definedName name="AA" localSheetId="6" hidden="1">{"'Sheet1'!$A$1:$J$57","'Sheet1'!$F$32:$F$35","'Sheet1'!$F$32:$F$36"}</definedName>
    <definedName name="AA" localSheetId="2" hidden="1">{"'Sheet1'!$A$1:$J$57","'Sheet1'!$F$32:$F$35","'Sheet1'!$F$32:$F$36"}</definedName>
    <definedName name="AA" localSheetId="5" hidden="1">{"'Sheet1'!$A$1:$J$57","'Sheet1'!$F$32:$F$35","'Sheet1'!$F$32:$F$36"}</definedName>
    <definedName name="AA" localSheetId="0" hidden="1">{"'Sheet1'!$A$1:$J$57","'Sheet1'!$F$32:$F$35","'Sheet1'!$F$32:$F$36"}</definedName>
    <definedName name="AA" localSheetId="1" hidden="1">{"'Sheet1'!$A$1:$J$57","'Sheet1'!$F$32:$F$35","'Sheet1'!$F$32:$F$36"}</definedName>
    <definedName name="AA" hidden="1">{"'Sheet1'!$A$1:$J$57","'Sheet1'!$F$32:$F$35","'Sheet1'!$F$32:$F$36"}</definedName>
    <definedName name="AB" localSheetId="4" hidden="1">{"'Sheet1'!$A$1:$J$57","'Sheet1'!$F$32:$F$35","'Sheet1'!$F$32:$F$36"}</definedName>
    <definedName name="AB" localSheetId="3" hidden="1">{"'Sheet1'!$A$1:$J$57","'Sheet1'!$F$32:$F$35","'Sheet1'!$F$32:$F$36"}</definedName>
    <definedName name="AB" localSheetId="6" hidden="1">{"'Sheet1'!$A$1:$J$57","'Sheet1'!$F$32:$F$35","'Sheet1'!$F$32:$F$36"}</definedName>
    <definedName name="AB" localSheetId="2" hidden="1">{"'Sheet1'!$A$1:$J$57","'Sheet1'!$F$32:$F$35","'Sheet1'!$F$32:$F$36"}</definedName>
    <definedName name="AB" localSheetId="5" hidden="1">{"'Sheet1'!$A$1:$J$57","'Sheet1'!$F$32:$F$35","'Sheet1'!$F$32:$F$36"}</definedName>
    <definedName name="AB" localSheetId="0" hidden="1">{"'Sheet1'!$A$1:$J$57","'Sheet1'!$F$32:$F$35","'Sheet1'!$F$32:$F$36"}</definedName>
    <definedName name="AB" localSheetId="1" hidden="1">{"'Sheet1'!$A$1:$J$57","'Sheet1'!$F$32:$F$35","'Sheet1'!$F$32:$F$36"}</definedName>
    <definedName name="AB" hidden="1">{"'Sheet1'!$A$1:$J$57","'Sheet1'!$F$32:$F$35","'Sheet1'!$F$32:$F$36"}</definedName>
    <definedName name="afaga" localSheetId="4" hidden="1">{"'Sheet1'!$A$1:$J$57","'Sheet1'!$F$32:$F$35","'Sheet1'!$F$32:$F$36"}</definedName>
    <definedName name="afaga" localSheetId="3" hidden="1">{"'Sheet1'!$A$1:$J$57","'Sheet1'!$F$32:$F$35","'Sheet1'!$F$32:$F$36"}</definedName>
    <definedName name="afaga" localSheetId="6" hidden="1">{"'Sheet1'!$A$1:$J$57","'Sheet1'!$F$32:$F$35","'Sheet1'!$F$32:$F$36"}</definedName>
    <definedName name="afaga" localSheetId="2" hidden="1">{"'Sheet1'!$A$1:$J$57","'Sheet1'!$F$32:$F$35","'Sheet1'!$F$32:$F$36"}</definedName>
    <definedName name="afaga" localSheetId="5" hidden="1">{"'Sheet1'!$A$1:$J$57","'Sheet1'!$F$32:$F$35","'Sheet1'!$F$32:$F$36"}</definedName>
    <definedName name="afaga" localSheetId="0" hidden="1">{"'Sheet1'!$A$1:$J$57","'Sheet1'!$F$32:$F$35","'Sheet1'!$F$32:$F$36"}</definedName>
    <definedName name="afaga" localSheetId="1" hidden="1">{"'Sheet1'!$A$1:$J$57","'Sheet1'!$F$32:$F$35","'Sheet1'!$F$32:$F$36"}</definedName>
    <definedName name="afaga" hidden="1">{"'Sheet1'!$A$1:$J$57","'Sheet1'!$F$32:$F$35","'Sheet1'!$F$32:$F$36"}</definedName>
    <definedName name="AG" localSheetId="4" hidden="1">{"'Sheet1'!$A$1:$J$57","'Sheet1'!$F$32:$F$35","'Sheet1'!$F$32:$F$36"}</definedName>
    <definedName name="AG" localSheetId="3" hidden="1">{"'Sheet1'!$A$1:$J$57","'Sheet1'!$F$32:$F$35","'Sheet1'!$F$32:$F$36"}</definedName>
    <definedName name="AG" localSheetId="6" hidden="1">{"'Sheet1'!$A$1:$J$57","'Sheet1'!$F$32:$F$35","'Sheet1'!$F$32:$F$36"}</definedName>
    <definedName name="AG" localSheetId="2" hidden="1">{"'Sheet1'!$A$1:$J$57","'Sheet1'!$F$32:$F$35","'Sheet1'!$F$32:$F$36"}</definedName>
    <definedName name="AG" localSheetId="5" hidden="1">{"'Sheet1'!$A$1:$J$57","'Sheet1'!$F$32:$F$35","'Sheet1'!$F$32:$F$36"}</definedName>
    <definedName name="AG" localSheetId="0" hidden="1">{"'Sheet1'!$A$1:$J$57","'Sheet1'!$F$32:$F$35","'Sheet1'!$F$32:$F$36"}</definedName>
    <definedName name="AG" localSheetId="1" hidden="1">{"'Sheet1'!$A$1:$J$57","'Sheet1'!$F$32:$F$35","'Sheet1'!$F$32:$F$36"}</definedName>
    <definedName name="AG" hidden="1">{"'Sheet1'!$A$1:$J$57","'Sheet1'!$F$32:$F$35","'Sheet1'!$F$32:$F$36"}</definedName>
    <definedName name="dddd" localSheetId="4" hidden="1">{"'Sheet1'!$A$1:$J$57","'Sheet1'!$F$32:$F$35","'Sheet1'!$F$32:$F$36"}</definedName>
    <definedName name="dddd" localSheetId="3" hidden="1">{"'Sheet1'!$A$1:$J$57","'Sheet1'!$F$32:$F$35","'Sheet1'!$F$32:$F$36"}</definedName>
    <definedName name="dddd" localSheetId="6" hidden="1">{"'Sheet1'!$A$1:$J$57","'Sheet1'!$F$32:$F$35","'Sheet1'!$F$32:$F$36"}</definedName>
    <definedName name="dddd" localSheetId="2" hidden="1">{"'Sheet1'!$A$1:$J$57","'Sheet1'!$F$32:$F$35","'Sheet1'!$F$32:$F$36"}</definedName>
    <definedName name="dddd" localSheetId="5" hidden="1">{"'Sheet1'!$A$1:$J$57","'Sheet1'!$F$32:$F$35","'Sheet1'!$F$32:$F$36"}</definedName>
    <definedName name="dddd" localSheetId="0" hidden="1">{"'Sheet1'!$A$1:$J$57","'Sheet1'!$F$32:$F$35","'Sheet1'!$F$32:$F$36"}</definedName>
    <definedName name="dddd" localSheetId="1" hidden="1">{"'Sheet1'!$A$1:$J$57","'Sheet1'!$F$32:$F$35","'Sheet1'!$F$32:$F$36"}</definedName>
    <definedName name="dddd" hidden="1">{"'Sheet1'!$A$1:$J$57","'Sheet1'!$F$32:$F$35","'Sheet1'!$F$32:$F$36"}</definedName>
    <definedName name="html" localSheetId="4" hidden="1">{"'Sheet1'!$A$1:$J$57","'Sheet1'!$F$32:$F$35","'Sheet1'!$F$32:$F$36"}</definedName>
    <definedName name="html" localSheetId="3" hidden="1">{"'Sheet1'!$A$1:$J$57","'Sheet1'!$F$32:$F$35","'Sheet1'!$F$32:$F$36"}</definedName>
    <definedName name="html" localSheetId="6" hidden="1">{"'Sheet1'!$A$1:$J$57","'Sheet1'!$F$32:$F$35","'Sheet1'!$F$32:$F$36"}</definedName>
    <definedName name="html" localSheetId="2" hidden="1">{"'Sheet1'!$A$1:$J$57","'Sheet1'!$F$32:$F$35","'Sheet1'!$F$32:$F$36"}</definedName>
    <definedName name="html" localSheetId="5" hidden="1">{"'Sheet1'!$A$1:$J$57","'Sheet1'!$F$32:$F$35","'Sheet1'!$F$32:$F$36"}</definedName>
    <definedName name="html" localSheetId="0" hidden="1">{"'Sheet1'!$A$1:$J$57","'Sheet1'!$F$32:$F$35","'Sheet1'!$F$32:$F$36"}</definedName>
    <definedName name="html" localSheetId="1" hidden="1">{"'Sheet1'!$A$1:$J$57","'Sheet1'!$F$32:$F$35","'Sheet1'!$F$32:$F$36"}</definedName>
    <definedName name="html" hidden="1">{"'Sheet1'!$A$1:$J$57","'Sheet1'!$F$32:$F$35","'Sheet1'!$F$32:$F$36"}</definedName>
    <definedName name="HTML_CodePage" hidden="1">1252</definedName>
    <definedName name="HTML_Control" localSheetId="4" hidden="1">{"'Sheet1'!$A$1:$J$57","'Sheet1'!$F$32:$F$35","'Sheet1'!$F$32:$F$36"}</definedName>
    <definedName name="HTML_Control" localSheetId="3" hidden="1">{"'Sheet1'!$A$1:$J$57","'Sheet1'!$F$32:$F$35","'Sheet1'!$F$32:$F$36"}</definedName>
    <definedName name="HTML_Control" localSheetId="6" hidden="1">{"'Sheet1'!$A$1:$J$57","'Sheet1'!$F$32:$F$35","'Sheet1'!$F$32:$F$36"}</definedName>
    <definedName name="HTML_Control" localSheetId="2" hidden="1">{"'Sheet1'!$A$1:$J$57","'Sheet1'!$F$32:$F$35","'Sheet1'!$F$32:$F$36"}</definedName>
    <definedName name="HTML_Control" localSheetId="5" hidden="1">{"'Sheet1'!$A$1:$J$57","'Sheet1'!$F$32:$F$35","'Sheet1'!$F$32:$F$36"}</definedName>
    <definedName name="HTML_Control" localSheetId="0" hidden="1">{"'Sheet1'!$A$1:$J$57","'Sheet1'!$F$32:$F$35","'Sheet1'!$F$32:$F$36"}</definedName>
    <definedName name="HTML_Control" localSheetId="1" hidden="1">{"'Sheet1'!$A$1:$J$57","'Sheet1'!$F$32:$F$35","'Sheet1'!$F$32:$F$36"}</definedName>
    <definedName name="HTML_Control" hidden="1">{"'Sheet1'!$A$1:$J$57","'Sheet1'!$F$32:$F$35","'Sheet1'!$F$32:$F$36"}</definedName>
    <definedName name="HTML_Description" hidden="1">""</definedName>
    <definedName name="HTML_Email" hidden="1">""</definedName>
    <definedName name="HTML_Header" hidden="1">"Case 2"</definedName>
    <definedName name="HTML_LastUpdate" hidden="1">"6/21/98"</definedName>
    <definedName name="HTML_LineAfter" hidden="1">FALSE</definedName>
    <definedName name="HTML_LineBefore" hidden="1">FALSE</definedName>
    <definedName name="HTML_Name" hidden="1">"Robert Lau"</definedName>
    <definedName name="HTML_OBDlg2" hidden="1">TRUE</definedName>
    <definedName name="HTML_OBDlg4" hidden="1">TRUE</definedName>
    <definedName name="HTML_OS" hidden="1">0</definedName>
    <definedName name="HTML_PathFile" hidden="1">"C:\My Documents\Portal\Clients\NTT DoCoMo\Case 2.htm"</definedName>
    <definedName name="HTML_Title" hidden="1">"DoCoMo quotation (1,000,000)"</definedName>
    <definedName name="HTML1" localSheetId="4" hidden="1">{"'Sheet1'!$A$1:$J$57","'Sheet1'!$F$32:$F$35","'Sheet1'!$F$32:$F$36"}</definedName>
    <definedName name="HTML1" localSheetId="3" hidden="1">{"'Sheet1'!$A$1:$J$57","'Sheet1'!$F$32:$F$35","'Sheet1'!$F$32:$F$36"}</definedName>
    <definedName name="HTML1" localSheetId="6" hidden="1">{"'Sheet1'!$A$1:$J$57","'Sheet1'!$F$32:$F$35","'Sheet1'!$F$32:$F$36"}</definedName>
    <definedName name="HTML1" localSheetId="2" hidden="1">{"'Sheet1'!$A$1:$J$57","'Sheet1'!$F$32:$F$35","'Sheet1'!$F$32:$F$36"}</definedName>
    <definedName name="HTML1" localSheetId="5" hidden="1">{"'Sheet1'!$A$1:$J$57","'Sheet1'!$F$32:$F$35","'Sheet1'!$F$32:$F$36"}</definedName>
    <definedName name="HTML1" localSheetId="0" hidden="1">{"'Sheet1'!$A$1:$J$57","'Sheet1'!$F$32:$F$35","'Sheet1'!$F$32:$F$36"}</definedName>
    <definedName name="HTML1" localSheetId="1" hidden="1">{"'Sheet1'!$A$1:$J$57","'Sheet1'!$F$32:$F$35","'Sheet1'!$F$32:$F$36"}</definedName>
    <definedName name="HTML1" hidden="1">{"'Sheet1'!$A$1:$J$57","'Sheet1'!$F$32:$F$35","'Sheet1'!$F$32:$F$36"}</definedName>
    <definedName name="HTML2" localSheetId="4" hidden="1">{"'Sheet1'!$A$1:$J$57","'Sheet1'!$F$32:$F$35","'Sheet1'!$F$32:$F$36"}</definedName>
    <definedName name="HTML2" localSheetId="3" hidden="1">{"'Sheet1'!$A$1:$J$57","'Sheet1'!$F$32:$F$35","'Sheet1'!$F$32:$F$36"}</definedName>
    <definedName name="HTML2" localSheetId="6" hidden="1">{"'Sheet1'!$A$1:$J$57","'Sheet1'!$F$32:$F$35","'Sheet1'!$F$32:$F$36"}</definedName>
    <definedName name="HTML2" localSheetId="2" hidden="1">{"'Sheet1'!$A$1:$J$57","'Sheet1'!$F$32:$F$35","'Sheet1'!$F$32:$F$36"}</definedName>
    <definedName name="HTML2" localSheetId="5" hidden="1">{"'Sheet1'!$A$1:$J$57","'Sheet1'!$F$32:$F$35","'Sheet1'!$F$32:$F$36"}</definedName>
    <definedName name="HTML2" localSheetId="0" hidden="1">{"'Sheet1'!$A$1:$J$57","'Sheet1'!$F$32:$F$35","'Sheet1'!$F$32:$F$36"}</definedName>
    <definedName name="HTML2" localSheetId="1" hidden="1">{"'Sheet1'!$A$1:$J$57","'Sheet1'!$F$32:$F$35","'Sheet1'!$F$32:$F$36"}</definedName>
    <definedName name="HTML2" hidden="1">{"'Sheet1'!$A$1:$J$57","'Sheet1'!$F$32:$F$35","'Sheet1'!$F$32:$F$36"}</definedName>
    <definedName name="ups" localSheetId="4" hidden="1">{"'Sheet1'!$A$1:$J$57","'Sheet1'!$F$32:$F$35","'Sheet1'!$F$32:$F$36"}</definedName>
    <definedName name="ups" localSheetId="3" hidden="1">{"'Sheet1'!$A$1:$J$57","'Sheet1'!$F$32:$F$35","'Sheet1'!$F$32:$F$36"}</definedName>
    <definedName name="ups" localSheetId="6" hidden="1">{"'Sheet1'!$A$1:$J$57","'Sheet1'!$F$32:$F$35","'Sheet1'!$F$32:$F$36"}</definedName>
    <definedName name="ups" localSheetId="2" hidden="1">{"'Sheet1'!$A$1:$J$57","'Sheet1'!$F$32:$F$35","'Sheet1'!$F$32:$F$36"}</definedName>
    <definedName name="ups" localSheetId="5" hidden="1">{"'Sheet1'!$A$1:$J$57","'Sheet1'!$F$32:$F$35","'Sheet1'!$F$32:$F$36"}</definedName>
    <definedName name="ups" localSheetId="0" hidden="1">{"'Sheet1'!$A$1:$J$57","'Sheet1'!$F$32:$F$35","'Sheet1'!$F$32:$F$36"}</definedName>
    <definedName name="ups" localSheetId="1" hidden="1">{"'Sheet1'!$A$1:$J$57","'Sheet1'!$F$32:$F$35","'Sheet1'!$F$32:$F$36"}</definedName>
    <definedName name="ups" hidden="1">{"'Sheet1'!$A$1:$J$57","'Sheet1'!$F$32:$F$35","'Sheet1'!$F$32:$F$36"}</definedName>
    <definedName name="견적_최종2" localSheetId="4" hidden="1">{"'Sheet1'!$A$1:$J$57","'Sheet1'!$F$32:$F$35","'Sheet1'!$F$32:$F$36"}</definedName>
    <definedName name="견적_최종2" localSheetId="3" hidden="1">{"'Sheet1'!$A$1:$J$57","'Sheet1'!$F$32:$F$35","'Sheet1'!$F$32:$F$36"}</definedName>
    <definedName name="견적_최종2" localSheetId="6" hidden="1">{"'Sheet1'!$A$1:$J$57","'Sheet1'!$F$32:$F$35","'Sheet1'!$F$32:$F$36"}</definedName>
    <definedName name="견적_최종2" localSheetId="2" hidden="1">{"'Sheet1'!$A$1:$J$57","'Sheet1'!$F$32:$F$35","'Sheet1'!$F$32:$F$36"}</definedName>
    <definedName name="견적_최종2" localSheetId="5" hidden="1">{"'Sheet1'!$A$1:$J$57","'Sheet1'!$F$32:$F$35","'Sheet1'!$F$32:$F$36"}</definedName>
    <definedName name="견적_최종2" localSheetId="0" hidden="1">{"'Sheet1'!$A$1:$J$57","'Sheet1'!$F$32:$F$35","'Sheet1'!$F$32:$F$36"}</definedName>
    <definedName name="견적_최종2" localSheetId="1" hidden="1">{"'Sheet1'!$A$1:$J$57","'Sheet1'!$F$32:$F$35","'Sheet1'!$F$32:$F$36"}</definedName>
    <definedName name="견적_최종2" hidden="1">{"'Sheet1'!$A$1:$J$57","'Sheet1'!$F$32:$F$35","'Sheet1'!$F$32:$F$36"}</definedName>
    <definedName name="梅兰日兰UPS" localSheetId="4" hidden="1">{"'Sheet1'!$A$1:$J$57","'Sheet1'!$F$32:$F$35","'Sheet1'!$F$32:$F$36"}</definedName>
    <definedName name="梅兰日兰UPS" localSheetId="3" hidden="1">{"'Sheet1'!$A$1:$J$57","'Sheet1'!$F$32:$F$35","'Sheet1'!$F$32:$F$36"}</definedName>
    <definedName name="梅兰日兰UPS" localSheetId="6" hidden="1">{"'Sheet1'!$A$1:$J$57","'Sheet1'!$F$32:$F$35","'Sheet1'!$F$32:$F$36"}</definedName>
    <definedName name="梅兰日兰UPS" localSheetId="2" hidden="1">{"'Sheet1'!$A$1:$J$57","'Sheet1'!$F$32:$F$35","'Sheet1'!$F$32:$F$36"}</definedName>
    <definedName name="梅兰日兰UPS" localSheetId="5" hidden="1">{"'Sheet1'!$A$1:$J$57","'Sheet1'!$F$32:$F$35","'Sheet1'!$F$32:$F$36"}</definedName>
    <definedName name="梅兰日兰UPS" localSheetId="0" hidden="1">{"'Sheet1'!$A$1:$J$57","'Sheet1'!$F$32:$F$35","'Sheet1'!$F$32:$F$36"}</definedName>
    <definedName name="梅兰日兰UPS" localSheetId="1" hidden="1">{"'Sheet1'!$A$1:$J$57","'Sheet1'!$F$32:$F$35","'Sheet1'!$F$32:$F$36"}</definedName>
    <definedName name="梅兰日兰UPS" hidden="1">{"'Sheet1'!$A$1:$J$57","'Sheet1'!$F$32:$F$35","'Sheet1'!$F$32:$F$36"}</definedName>
    <definedName name="ㅅㄴ" localSheetId="4" hidden="1">{"'Sheet1'!$A$1:$J$57","'Sheet1'!$F$32:$F$35","'Sheet1'!$F$32:$F$36"}</definedName>
    <definedName name="ㅅㄴ" localSheetId="3" hidden="1">{"'Sheet1'!$A$1:$J$57","'Sheet1'!$F$32:$F$35","'Sheet1'!$F$32:$F$36"}</definedName>
    <definedName name="ㅅㄴ" localSheetId="6" hidden="1">{"'Sheet1'!$A$1:$J$57","'Sheet1'!$F$32:$F$35","'Sheet1'!$F$32:$F$36"}</definedName>
    <definedName name="ㅅㄴ" localSheetId="2" hidden="1">{"'Sheet1'!$A$1:$J$57","'Sheet1'!$F$32:$F$35","'Sheet1'!$F$32:$F$36"}</definedName>
    <definedName name="ㅅㄴ" localSheetId="5" hidden="1">{"'Sheet1'!$A$1:$J$57","'Sheet1'!$F$32:$F$35","'Sheet1'!$F$32:$F$36"}</definedName>
    <definedName name="ㅅㄴ" localSheetId="0" hidden="1">{"'Sheet1'!$A$1:$J$57","'Sheet1'!$F$32:$F$35","'Sheet1'!$F$32:$F$36"}</definedName>
    <definedName name="ㅅㄴ" localSheetId="1" hidden="1">{"'Sheet1'!$A$1:$J$57","'Sheet1'!$F$32:$F$35","'Sheet1'!$F$32:$F$36"}</definedName>
    <definedName name="ㅅㄴ" hidden="1">{"'Sheet1'!$A$1:$J$57","'Sheet1'!$F$32:$F$35","'Sheet1'!$F$32:$F$36"}</definedName>
    <definedName name="总价12" localSheetId="4" hidden="1">{"'Sheet1'!$A$1:$J$57","'Sheet1'!$F$32:$F$35","'Sheet1'!$F$32:$F$36"}</definedName>
    <definedName name="总价12" localSheetId="3" hidden="1">{"'Sheet1'!$A$1:$J$57","'Sheet1'!$F$32:$F$35","'Sheet1'!$F$32:$F$36"}</definedName>
    <definedName name="总价12" localSheetId="6" hidden="1">{"'Sheet1'!$A$1:$J$57","'Sheet1'!$F$32:$F$35","'Sheet1'!$F$32:$F$36"}</definedName>
    <definedName name="总价12" localSheetId="2" hidden="1">{"'Sheet1'!$A$1:$J$57","'Sheet1'!$F$32:$F$35","'Sheet1'!$F$32:$F$36"}</definedName>
    <definedName name="总价12" localSheetId="5" hidden="1">{"'Sheet1'!$A$1:$J$57","'Sheet1'!$F$32:$F$35","'Sheet1'!$F$32:$F$36"}</definedName>
    <definedName name="总价12" localSheetId="0" hidden="1">{"'Sheet1'!$A$1:$J$57","'Sheet1'!$F$32:$F$35","'Sheet1'!$F$32:$F$36"}</definedName>
    <definedName name="总价12" localSheetId="1" hidden="1">{"'Sheet1'!$A$1:$J$57","'Sheet1'!$F$32:$F$35","'Sheet1'!$F$32:$F$36"}</definedName>
    <definedName name="总价12" hidden="1">{"'Sheet1'!$A$1:$J$57","'Sheet1'!$F$32:$F$35","'Sheet1'!$F$32:$F$36"}</definedName>
  </definedNames>
  <calcPr calcId="191029"/>
</workbook>
</file>

<file path=xl/calcChain.xml><?xml version="1.0" encoding="utf-8"?>
<calcChain xmlns="http://schemas.openxmlformats.org/spreadsheetml/2006/main">
  <c r="A9" i="159" l="1"/>
  <c r="A9" i="148"/>
  <c r="A7" i="162"/>
  <c r="A7" i="147"/>
  <c r="A10" i="145"/>
  <c r="A11" i="145"/>
  <c r="A12" i="145"/>
  <c r="A13" i="145"/>
  <c r="A14" i="145"/>
  <c r="A15" i="145"/>
  <c r="A16" i="145"/>
  <c r="A17" i="145"/>
  <c r="A18" i="145"/>
  <c r="A8" i="159" l="1"/>
  <c r="A7" i="159"/>
  <c r="A6" i="159"/>
  <c r="A8" i="148"/>
  <c r="A7" i="148"/>
  <c r="A6" i="148"/>
  <c r="A6" i="162"/>
  <c r="A6" i="147"/>
  <c r="A7" i="146"/>
  <c r="A6" i="146"/>
  <c r="A9" i="145"/>
  <c r="A8" i="145"/>
  <c r="A7" i="145"/>
  <c r="A6" i="145"/>
  <c r="A2" i="162" l="1"/>
  <c r="A2" i="159"/>
  <c r="A2" i="148"/>
  <c r="A2" i="147"/>
  <c r="A2" i="146"/>
  <c r="A2" i="145"/>
</calcChain>
</file>

<file path=xl/sharedStrings.xml><?xml version="1.0" encoding="utf-8"?>
<sst xmlns="http://schemas.openxmlformats.org/spreadsheetml/2006/main" count="801" uniqueCount="293">
  <si>
    <t>요구사항 ID</t>
    <phoneticPr fontId="10" type="noConversion"/>
  </si>
  <si>
    <t>기능</t>
  </si>
  <si>
    <t>인터페이스</t>
  </si>
  <si>
    <t>기타</t>
  </si>
  <si>
    <t>난이도</t>
    <phoneticPr fontId="18" type="noConversion"/>
  </si>
  <si>
    <t>수용여부</t>
  </si>
  <si>
    <t>수용</t>
  </si>
  <si>
    <t>불가</t>
  </si>
  <si>
    <t>삭제</t>
  </si>
  <si>
    <t>협의중</t>
  </si>
  <si>
    <t>분류</t>
    <phoneticPr fontId="18" type="noConversion"/>
  </si>
  <si>
    <t>비기능</t>
    <phoneticPr fontId="18" type="noConversion"/>
  </si>
  <si>
    <t>High</t>
    <phoneticPr fontId="18" type="noConversion"/>
  </si>
  <si>
    <t>Mid</t>
    <phoneticPr fontId="18" type="noConversion"/>
  </si>
  <si>
    <t>Low</t>
    <phoneticPr fontId="18" type="noConversion"/>
  </si>
  <si>
    <t>중요도</t>
    <phoneticPr fontId="18" type="noConversion"/>
  </si>
  <si>
    <t>매핑/GAP분석</t>
    <phoneticPr fontId="10" type="noConversion"/>
  </si>
  <si>
    <t>NO</t>
    <phoneticPr fontId="10" type="noConversion"/>
  </si>
  <si>
    <t>GAP대응방안</t>
    <phoneticPr fontId="10" type="noConversion"/>
  </si>
  <si>
    <t>수용 
여부</t>
    <phoneticPr fontId="10" type="noConversion"/>
  </si>
  <si>
    <t>관련부서</t>
    <phoneticPr fontId="10" type="noConversion"/>
  </si>
  <si>
    <t>비고</t>
    <phoneticPr fontId="10" type="noConversion"/>
  </si>
  <si>
    <t>제/개 정 이 력</t>
    <phoneticPr fontId="40" type="noConversion"/>
  </si>
  <si>
    <t>개정번호</t>
    <phoneticPr fontId="40" type="noConversion"/>
  </si>
  <si>
    <t>작성자</t>
    <phoneticPr fontId="40" type="noConversion"/>
  </si>
  <si>
    <t>제/개정 페이지 및 내용</t>
    <phoneticPr fontId="40" type="noConversion"/>
  </si>
  <si>
    <t>제/개정일자</t>
    <phoneticPr fontId="40" type="noConversion"/>
  </si>
  <si>
    <t>요구사항</t>
    <phoneticPr fontId="10" type="noConversion"/>
  </si>
  <si>
    <t>요구사항 상세 설명</t>
    <phoneticPr fontId="18" type="noConversion"/>
  </si>
  <si>
    <t>그룹웨어 구축 TFT</t>
    <phoneticPr fontId="18" type="noConversion"/>
  </si>
  <si>
    <t>요구사항 정의</t>
    <phoneticPr fontId="18" type="noConversion"/>
  </si>
  <si>
    <t>기타</t>
    <phoneticPr fontId="18" type="noConversion"/>
  </si>
  <si>
    <t>요구추적 출처</t>
    <phoneticPr fontId="10" type="noConversion"/>
  </si>
  <si>
    <t>요구사항출처</t>
    <phoneticPr fontId="10" type="noConversion"/>
  </si>
  <si>
    <t>▣ 작성자:</t>
    <phoneticPr fontId="18" type="noConversion"/>
  </si>
  <si>
    <t>▣ 작성일:</t>
    <phoneticPr fontId="18" type="noConversion"/>
  </si>
  <si>
    <t>PM명</t>
  </si>
  <si>
    <t>20YY-MM-DD</t>
  </si>
  <si>
    <t>이음톡</t>
  </si>
  <si>
    <t>서브시스템</t>
    <phoneticPr fontId="10" type="noConversion"/>
  </si>
  <si>
    <t>박민수</t>
    <phoneticPr fontId="40" type="noConversion"/>
  </si>
  <si>
    <t>최초 작성</t>
    <phoneticPr fontId="40" type="noConversion"/>
  </si>
  <si>
    <t>박민수</t>
    <phoneticPr fontId="18" type="noConversion"/>
  </si>
  <si>
    <t>이철한</t>
    <phoneticPr fontId="18" type="noConversion"/>
  </si>
  <si>
    <t>모듈명 수정/추가, Teams Add-in(PC) 내용 추가</t>
  </si>
  <si>
    <t>AX파트</t>
    <phoneticPr fontId="18" type="noConversion"/>
  </si>
  <si>
    <t>요구사항 정의서와 요구사항 정의서 통합</t>
  </si>
  <si>
    <t>요구사항정의서를 감리대비 선택사항으로 변경, 요구사항정의서와 분리</t>
  </si>
  <si>
    <t>요구사항정의서</t>
  </si>
  <si>
    <t>REQ-WFW-002</t>
  </si>
  <si>
    <t>REQ-WFW-004</t>
  </si>
  <si>
    <t>REQ-WFW-005</t>
  </si>
  <si>
    <t>REQ-ORG-002</t>
  </si>
  <si>
    <t>REQ-ORG-003</t>
  </si>
  <si>
    <t>REQ-EUM-002</t>
  </si>
  <si>
    <t>REQ-EUM-003</t>
  </si>
  <si>
    <t>변경 내역</t>
    <phoneticPr fontId="18" type="noConversion"/>
  </si>
  <si>
    <t>변경
구분</t>
    <phoneticPr fontId="10" type="noConversion"/>
  </si>
  <si>
    <t>변경
요청자</t>
    <phoneticPr fontId="10" type="noConversion"/>
  </si>
  <si>
    <t>변경 상세 내용
(변경일자 (변경 버전), 변경 상세 내용)</t>
    <phoneticPr fontId="10" type="noConversion"/>
  </si>
  <si>
    <t>변경
출처</t>
    <phoneticPr fontId="10" type="noConversion"/>
  </si>
  <si>
    <t>변경
승인근거</t>
    <phoneticPr fontId="10" type="noConversion"/>
  </si>
  <si>
    <t>변경
시작일</t>
    <phoneticPr fontId="10" type="noConversion"/>
  </si>
  <si>
    <t>서브시스템(모듈)별 약어 표준 현재 적용된, 변경내역 추가</t>
  </si>
  <si>
    <t>현재 적용된 
변경 버전</t>
  </si>
  <si>
    <t>변경
완료일</t>
  </si>
  <si>
    <t>변경
완료 여부</t>
    <phoneticPr fontId="10" type="noConversion"/>
  </si>
  <si>
    <t>기능분류</t>
  </si>
  <si>
    <t>유티아이 베트남</t>
    <phoneticPr fontId="40" type="noConversion"/>
  </si>
  <si>
    <t>2026.04.14</t>
    <phoneticPr fontId="18" type="noConversion"/>
  </si>
  <si>
    <t>협업</t>
  </si>
  <si>
    <t>계열사</t>
  </si>
  <si>
    <t>계열사 2개사 반영
1. UTI VINA (V1)
2. UTI VINA Vinh Phuc (V2)</t>
  </si>
  <si>
    <t>계열사별 서브도메인 설정</t>
  </si>
  <si>
    <t>다국어</t>
  </si>
  <si>
    <t>다국어 지원 (한국어, 영어, 베트남어)</t>
  </si>
  <si>
    <t>베트남 현지화를 위한 베트남어 적용
(기계어번역으로 제공하여 고객사에서 검수(보정)하는 방식으로 진행)</t>
  </si>
  <si>
    <t>그룹웨어에서 사용하는 모든 다국어를 추출하여 번역기를 사용하여 베트남어로 변경 후 고객사 최종 확인 후 적용</t>
  </si>
  <si>
    <t>자원예약</t>
  </si>
  <si>
    <t>자원예약 &lt;&gt; 아웃룩 회의실 동기화 연동 (현재 아웃룩 회의실 예약과 월패트간 양방향 싱크는 기 구성)</t>
  </si>
  <si>
    <t>고객사에서 사용중인 Exchange 회의실 목록 및 메일주소를 전달받아 그룹웨어에서 생성 후 Exchange자원예약과 매핑</t>
  </si>
  <si>
    <t>일정관리</t>
  </si>
  <si>
    <t>일정관리 &lt;&gt; 아웃룩 동기화 연동 요청</t>
  </si>
  <si>
    <t>개인일정만 Exchange와 연동되며 회사, 부서 등은 연동 대상에서 제외</t>
  </si>
  <si>
    <t>영업인수인계자료, 260306인터뷰</t>
  </si>
  <si>
    <t>영업인수인계자료, 260307인터뷰</t>
  </si>
  <si>
    <t>영업인수인계자료, 260308인터뷰</t>
  </si>
  <si>
    <t>영업인수인계자료, 260309인터뷰</t>
  </si>
  <si>
    <t>요구사항 구분</t>
    <phoneticPr fontId="18" type="noConversion"/>
  </si>
  <si>
    <t>전자결재</t>
  </si>
  <si>
    <t>일반양식</t>
  </si>
  <si>
    <t>계열사간 결재</t>
  </si>
  <si>
    <t>계열사간 결재기능 제공 필수
(V1, V2간 사간결재)</t>
  </si>
  <si>
    <t>일반양식 개발</t>
  </si>
  <si>
    <t>일반양식 11종 증가 (총 26종)</t>
    <phoneticPr fontId="18" type="noConversion"/>
  </si>
  <si>
    <t>기간내 구현가능</t>
    <phoneticPr fontId="18" type="noConversion"/>
  </si>
  <si>
    <t>사용자별로 각자 언어로 표시되도록</t>
  </si>
  <si>
    <t>양식 포멧의 언어는 가능하나 본문내용의 언어는 변환 불가함</t>
  </si>
  <si>
    <t>[일반양식]법인카드 사용내역서</t>
  </si>
  <si>
    <t>양식개발</t>
    <phoneticPr fontId="18" type="noConversion"/>
  </si>
  <si>
    <t>개발</t>
    <phoneticPr fontId="18" type="noConversion"/>
  </si>
  <si>
    <t>없음</t>
    <phoneticPr fontId="18" type="noConversion"/>
  </si>
  <si>
    <t>[일반양식]시행문</t>
  </si>
  <si>
    <t>REQ-WFW-006</t>
  </si>
  <si>
    <t>[일반양식]기안문</t>
  </si>
  <si>
    <t>REQ-WFW-007</t>
  </si>
  <si>
    <t>[일반양식]구매요청서</t>
  </si>
  <si>
    <t>REQ-WFW-008</t>
  </si>
  <si>
    <t>[일반양식]개인 비용 청구서</t>
  </si>
  <si>
    <t>REQ-WFW-009</t>
  </si>
  <si>
    <t>[일반양식]출장경비 내역서</t>
  </si>
  <si>
    <t>REQ-WFW-010</t>
  </si>
  <si>
    <t>[일반양식]업무협조전</t>
  </si>
  <si>
    <t>REQ-WFW-011</t>
  </si>
  <si>
    <t>[일반양식]회의록</t>
  </si>
  <si>
    <t>REQ-WFW-012</t>
  </si>
  <si>
    <t>[일반양식]물품지급요청서</t>
  </si>
  <si>
    <t>REQ-WFW-013</t>
  </si>
  <si>
    <t>[일반양식]ERP 계정 및 권한 신청서</t>
  </si>
  <si>
    <t>REQ-WFW-014</t>
  </si>
  <si>
    <t>[일반양식]ERP 데이터 변경 요청서</t>
  </si>
  <si>
    <t>REQ-WFW-015</t>
  </si>
  <si>
    <t>[일반양식]휴가신청서</t>
  </si>
  <si>
    <t>REQ-WFW-016</t>
  </si>
  <si>
    <t>[일반양식]법인카드 사용신청서</t>
  </si>
  <si>
    <t>REQ-WFW-017</t>
  </si>
  <si>
    <t>[일반양식]직원 충원요청서</t>
  </si>
  <si>
    <t>REQ-WFW-018</t>
  </si>
  <si>
    <t>[일반양식]출장/연수 신청서</t>
  </si>
  <si>
    <t>REQ-WFW-019</t>
  </si>
  <si>
    <t>[일반양식]경조비 지급 신청서</t>
  </si>
  <si>
    <t>REQ-WFW-020</t>
  </si>
  <si>
    <t>[일반양식]교육신청서</t>
  </si>
  <si>
    <t>REQ-WFW-021</t>
  </si>
  <si>
    <t>[일반양식]부서이동요청서</t>
  </si>
  <si>
    <t>REQ-WFW-022</t>
  </si>
  <si>
    <t>[일반양식]사직서</t>
  </si>
  <si>
    <t>REQ-WFW-023</t>
  </si>
  <si>
    <t>[일반양식]USB 사용 신청서</t>
  </si>
  <si>
    <t>REQ-WFW-024</t>
  </si>
  <si>
    <t>[일반양식]회사 증명서 신청서</t>
  </si>
  <si>
    <t>REQ-WFW-025</t>
  </si>
  <si>
    <t>[일반양식]OT 및 특근확인서</t>
  </si>
  <si>
    <t>REQ-WFW-026</t>
  </si>
  <si>
    <t>[일반양식]교육결과보고서</t>
  </si>
  <si>
    <t>REQ-WFW-027</t>
  </si>
  <si>
    <t>[일반양식]출장/연수 보고서</t>
  </si>
  <si>
    <t>REQ-WFW-028</t>
  </si>
  <si>
    <t>[일반양식]사고경위서</t>
  </si>
  <si>
    <t>REQ-WFW-029</t>
  </si>
  <si>
    <t>[일반양식]시말서</t>
  </si>
  <si>
    <t>영업인수인계자료, 260311인터뷰</t>
  </si>
  <si>
    <t>영업인수인계자료, 260312인터뷰</t>
  </si>
  <si>
    <t>011. UTI베트남_그룹웨어_회의록(전자결재2차)_20260407</t>
    <phoneticPr fontId="18" type="noConversion"/>
  </si>
  <si>
    <t>영업인수인계자료, 260313인터뷰</t>
  </si>
  <si>
    <t>기능</t>
    <phoneticPr fontId="18" type="noConversion"/>
  </si>
  <si>
    <t>수용</t>
    <phoneticPr fontId="18" type="noConversion"/>
  </si>
  <si>
    <t>웹메일</t>
  </si>
  <si>
    <t>구성</t>
  </si>
  <si>
    <t>exchange 기반 웹메일 구성</t>
  </si>
  <si>
    <t>영업인수인계자료, 260310인터뷰</t>
  </si>
  <si>
    <t>Outlook Add-in</t>
  </si>
  <si>
    <t>Add-in</t>
    <phoneticPr fontId="18" type="noConversion"/>
  </si>
  <si>
    <t>Outlook Add-in 구성</t>
    <phoneticPr fontId="18" type="noConversion"/>
  </si>
  <si>
    <t>대용량, 조직도 포함</t>
  </si>
  <si>
    <t>조직도</t>
  </si>
  <si>
    <t>인사연동</t>
  </si>
  <si>
    <t>V1: 수동 , V2: 영림원 연계</t>
  </si>
  <si>
    <t>영림원 ERP(MSSQL)는 view 로 제공예정
그룹웨어 조직도 연동 대상-DB, AD</t>
  </si>
  <si>
    <t>M365 동기화</t>
  </si>
  <si>
    <t>M365 계정 동기화 (로컬 AD와 entra ID간 싱크 구성 중)</t>
  </si>
  <si>
    <t>계열사 다보이게</t>
  </si>
  <si>
    <t>V1, V2 양사 다 보이게
대상: 포탈, 전자결재, 이음톡</t>
  </si>
  <si>
    <t>메신저</t>
  </si>
  <si>
    <t>외부 사용자</t>
  </si>
  <si>
    <t>vendor 사에서도 사용할수있도록 요청</t>
  </si>
  <si>
    <t>사간 채팅기능 구현</t>
  </si>
  <si>
    <t xml:space="preserve">V1, V2간 채팅기능 구현 요청 고려
</t>
  </si>
  <si>
    <t>베트남어 적용</t>
  </si>
  <si>
    <t>강민석</t>
    <phoneticPr fontId="18" type="noConversion"/>
  </si>
  <si>
    <t>요구사항 구분</t>
    <phoneticPr fontId="18" type="noConversion"/>
  </si>
  <si>
    <t>V1, V2모두 수동관리
최초 1회 엑셀기반으로 수동이관
그룹웨어 조직도 연동 대상-DB, AD</t>
    <phoneticPr fontId="18" type="noConversion"/>
  </si>
  <si>
    <t>011. UTI베트남_그룹웨어_회의록(조직도2차)_20260415.docx</t>
    <phoneticPr fontId="18" type="noConversion"/>
  </si>
  <si>
    <t>완료</t>
  </si>
  <si>
    <t>협업의 단위테스트 요청</t>
    <phoneticPr fontId="18" type="noConversion"/>
  </si>
  <si>
    <t>REQ-COW-003</t>
    <phoneticPr fontId="18" type="noConversion"/>
  </si>
  <si>
    <t>기본기능</t>
    <phoneticPr fontId="18" type="noConversion"/>
  </si>
  <si>
    <t>기본기능 + REQ-COW-003 기능도 테스트 진행해야함</t>
    <phoneticPr fontId="18" type="noConversion"/>
  </si>
  <si>
    <t>REQ-COW-005</t>
    <phoneticPr fontId="18" type="noConversion"/>
  </si>
  <si>
    <t>REQ-COW-006</t>
  </si>
  <si>
    <t>자원예약 단위테스트</t>
    <phoneticPr fontId="18" type="noConversion"/>
  </si>
  <si>
    <t>커뮤니티 단위테스트</t>
    <phoneticPr fontId="18" type="noConversion"/>
  </si>
  <si>
    <t>게시 단위테스트</t>
    <phoneticPr fontId="18" type="noConversion"/>
  </si>
  <si>
    <t>전자설문 단위테스트</t>
    <phoneticPr fontId="18" type="noConversion"/>
  </si>
  <si>
    <t>일정관리 단위테스트</t>
    <phoneticPr fontId="18" type="noConversion"/>
  </si>
  <si>
    <t>인명관리 단위테스트</t>
    <phoneticPr fontId="18" type="noConversion"/>
  </si>
  <si>
    <t>문서관리 단위테스트</t>
    <phoneticPr fontId="18" type="noConversion"/>
  </si>
  <si>
    <t>로그인포탈 단위테스트</t>
    <phoneticPr fontId="18" type="noConversion"/>
  </si>
  <si>
    <t>모바일 단위테스트</t>
    <phoneticPr fontId="18" type="noConversion"/>
  </si>
  <si>
    <t>REQ-COW-007</t>
  </si>
  <si>
    <t>REQ-COW-008</t>
  </si>
  <si>
    <t>REQ-COW-009</t>
  </si>
  <si>
    <t>REQ-COW-010</t>
  </si>
  <si>
    <t>REQ-COW-011</t>
  </si>
  <si>
    <t>REQ-COW-012</t>
  </si>
  <si>
    <t>REQ-COW-013</t>
  </si>
  <si>
    <t>REQ-COW-001</t>
    <phoneticPr fontId="18" type="noConversion"/>
  </si>
  <si>
    <t>REQ-COW-002</t>
    <phoneticPr fontId="18" type="noConversion"/>
  </si>
  <si>
    <t>기본기능+REQ-COW-001, REQ-COW-002 기능도 테스트 진행해야함</t>
    <phoneticPr fontId="18" type="noConversion"/>
  </si>
  <si>
    <t>REQ-COW-004</t>
    <phoneticPr fontId="18" type="noConversion"/>
  </si>
  <si>
    <t>기본기능 + REQ-COW-004 기능도 테스트 진행해야함</t>
    <phoneticPr fontId="18" type="noConversion"/>
  </si>
  <si>
    <t>전자결재</t>
    <phoneticPr fontId="18" type="noConversion"/>
  </si>
  <si>
    <t>REQ-WFW-030</t>
  </si>
  <si>
    <t>전자결재 단위테스트</t>
    <phoneticPr fontId="18" type="noConversion"/>
  </si>
  <si>
    <t>일반양식 15종 (미확정)</t>
    <phoneticPr fontId="18" type="noConversion"/>
  </si>
  <si>
    <t>REQ-WFW-001</t>
    <phoneticPr fontId="18" type="noConversion"/>
  </si>
  <si>
    <t>REQ-WFW-003</t>
    <phoneticPr fontId="18" type="noConversion"/>
  </si>
  <si>
    <t>기본기능 + REQ-WFW-001, REQ-WFW-003 기능도 테스트 진행해야함</t>
    <phoneticPr fontId="18" type="noConversion"/>
  </si>
  <si>
    <t>전자결재 양식별 단위테스트 요청</t>
    <phoneticPr fontId="18" type="noConversion"/>
  </si>
  <si>
    <t>전자결재 양식 기본기능 단위테스트 요청</t>
    <phoneticPr fontId="18" type="noConversion"/>
  </si>
  <si>
    <t>REQ-WFW-032</t>
  </si>
  <si>
    <t>REQ-WFW-033</t>
  </si>
  <si>
    <t>REQ-WFW-034</t>
  </si>
  <si>
    <t>REQ-WFW-035</t>
  </si>
  <si>
    <t>REQ-WFW-036</t>
  </si>
  <si>
    <t>REQ-WFW-037</t>
  </si>
  <si>
    <t>REQ-WFW-038</t>
  </si>
  <si>
    <t>REQ-WFW-039</t>
  </si>
  <si>
    <t>REQ-WFW-040</t>
  </si>
  <si>
    <t>REQ-WFW-041</t>
  </si>
  <si>
    <t>REQ-WFW-042</t>
  </si>
  <si>
    <t>REQ-WFW-043</t>
  </si>
  <si>
    <t>REQ-WFW-044</t>
  </si>
  <si>
    <t>REQ-WFW-045</t>
  </si>
  <si>
    <t>REQ-WFW-046</t>
  </si>
  <si>
    <t>REQ-WFW-047</t>
  </si>
  <si>
    <t>REQ-WFW-048</t>
  </si>
  <si>
    <t>REQ-WFW-049</t>
  </si>
  <si>
    <t>REQ-WFW-050</t>
  </si>
  <si>
    <t>REQ-WFW-051</t>
  </si>
  <si>
    <t>REQ-WFW-052</t>
  </si>
  <si>
    <t>REQ-WFW-053</t>
  </si>
  <si>
    <t>REQ-WFW-054</t>
  </si>
  <si>
    <t>REQ-WFW-055</t>
  </si>
  <si>
    <t>REQ-WFW-031</t>
    <phoneticPr fontId="18" type="noConversion"/>
  </si>
  <si>
    <t>REQ-WFW-056</t>
  </si>
  <si>
    <t>웹메일</t>
    <phoneticPr fontId="18" type="noConversion"/>
  </si>
  <si>
    <t>REQ-WML-002</t>
  </si>
  <si>
    <t>웹메일 단위테스트</t>
    <phoneticPr fontId="18" type="noConversion"/>
  </si>
  <si>
    <t>웹메일 단위테스트 요청</t>
    <phoneticPr fontId="18" type="noConversion"/>
  </si>
  <si>
    <t>REQ-WML-001</t>
    <phoneticPr fontId="18" type="noConversion"/>
  </si>
  <si>
    <t>기본기능 + REQ-WML-001 기능도 테스트 진행해야함</t>
    <phoneticPr fontId="18" type="noConversion"/>
  </si>
  <si>
    <t>REQ-ODD-002</t>
  </si>
  <si>
    <t>Add-in 단위테스트</t>
    <phoneticPr fontId="18" type="noConversion"/>
  </si>
  <si>
    <t>Add-in 단위테스트 요청</t>
    <phoneticPr fontId="18" type="noConversion"/>
  </si>
  <si>
    <t>REQ-ODD-001</t>
    <phoneticPr fontId="18" type="noConversion"/>
  </si>
  <si>
    <t>기본기능 + REQ-ODD-001 기능도 테스트 진행해야함</t>
    <phoneticPr fontId="18" type="noConversion"/>
  </si>
  <si>
    <t>REQ-ORG-004</t>
  </si>
  <si>
    <t>조직도 단위테스트</t>
    <phoneticPr fontId="18" type="noConversion"/>
  </si>
  <si>
    <t>조직도 단위테스트 요청</t>
    <phoneticPr fontId="18" type="noConversion"/>
  </si>
  <si>
    <t>REQ-ORG-001</t>
    <phoneticPr fontId="18" type="noConversion"/>
  </si>
  <si>
    <t>기본기능 + REQ-ORG-001, REQ-ORG-002, REQ-ORG-003 기능도 테스트 진행해야함</t>
    <phoneticPr fontId="18" type="noConversion"/>
  </si>
  <si>
    <t>REQ-EUM-004</t>
  </si>
  <si>
    <t>이음톡 단위테스트</t>
    <phoneticPr fontId="18" type="noConversion"/>
  </si>
  <si>
    <t>이음톡 단위테스트 요청</t>
    <phoneticPr fontId="18" type="noConversion"/>
  </si>
  <si>
    <t>REQ-EUM-001</t>
    <phoneticPr fontId="18" type="noConversion"/>
  </si>
  <si>
    <t>기본기능 + REQ-EUM-001, REQ-EUM-002, REQ-EUM-003 기능도 테스트 진행해야함</t>
    <phoneticPr fontId="18" type="noConversion"/>
  </si>
  <si>
    <t>REQ-WFW-016 기능 테스트 진행해야함 (REQ-WFW-001, REQ-WFW-003 테스트 포함)</t>
    <phoneticPr fontId="18" type="noConversion"/>
  </si>
  <si>
    <t>REQ-WFW-017 기능 테스트 진행해야함 (REQ-WFW-001, REQ-WFW-003 테스트 포함)</t>
    <phoneticPr fontId="18" type="noConversion"/>
  </si>
  <si>
    <t>REQ-WFW-018 기능 테스트 진행해야함 (REQ-WFW-001, REQ-WFW-003 테스트 포함)</t>
    <phoneticPr fontId="18" type="noConversion"/>
  </si>
  <si>
    <t>REQ-WFW-015 기능 테스트 진행해야함 (REQ-WFW-001, REQ-WFW-003 테스트 포함)</t>
    <phoneticPr fontId="18" type="noConversion"/>
  </si>
  <si>
    <t>REQ-WFW-014 기능 테스트 진행해야함 (REQ-WFW-001, REQ-WFW-003 테스트 포함)</t>
    <phoneticPr fontId="18" type="noConversion"/>
  </si>
  <si>
    <t>REQ-WFW-012 기능 테스트 진행해야함 (REQ-WFW-001, REQ-WFW-003 테스트 포함)</t>
    <phoneticPr fontId="18" type="noConversion"/>
  </si>
  <si>
    <t>REQ-WFW-011 기능 테스트 진행해야함 (REQ-WFW-001, REQ-WFW-003 테스트 포함)</t>
    <phoneticPr fontId="18" type="noConversion"/>
  </si>
  <si>
    <t>REQ-WFW-010 기능 테스트 진행해야함 (REQ-WFW-001, REQ-WFW-003 테스트 포함)</t>
    <phoneticPr fontId="18" type="noConversion"/>
  </si>
  <si>
    <t>REQ-WFW-004 기능 테스트 진행해야함 (REQ-WFW-001, REQ-WFW-003 테스트 포함)</t>
    <phoneticPr fontId="18" type="noConversion"/>
  </si>
  <si>
    <t>REQ-WFW-005 기능 테스트 진행해야함 (REQ-WFW-001, REQ-WFW-003 테스트 포함)</t>
    <phoneticPr fontId="18" type="noConversion"/>
  </si>
  <si>
    <t>REQ-WFW-006 기능 테스트 진행해야함 (REQ-WFW-001, REQ-WFW-003 테스트 포함)</t>
    <phoneticPr fontId="18" type="noConversion"/>
  </si>
  <si>
    <t>REQ-WFW-007 기능 테스트 진행해야함 (REQ-WFW-001, REQ-WFW-003 테스트 포함)</t>
    <phoneticPr fontId="18" type="noConversion"/>
  </si>
  <si>
    <t>REQ-WFW-008 기능 테스트 진행해야함 (REQ-WFW-001, REQ-WFW-003 테스트 포함)</t>
    <phoneticPr fontId="18" type="noConversion"/>
  </si>
  <si>
    <t>REQ-WFW-009 기능 테스트 진행해야함 (REQ-WFW-001, REQ-WFW-003 테스트 포함)</t>
    <phoneticPr fontId="18" type="noConversion"/>
  </si>
  <si>
    <t>REQ-WFW-013 기능 테스트 진행해야함 (REQ-WFW-001, REQ-WFW-003 테스트 포함)</t>
    <phoneticPr fontId="18" type="noConversion"/>
  </si>
  <si>
    <t>REQ-WFW-019 기능 테스트 진행해야함 (REQ-WFW-001, REQ-WFW-003 테스트 포함)</t>
    <phoneticPr fontId="18" type="noConversion"/>
  </si>
  <si>
    <t>REQ-WFW-020 기능 테스트 진행해야함 (REQ-WFW-001, REQ-WFW-003 테스트 포함)</t>
    <phoneticPr fontId="18" type="noConversion"/>
  </si>
  <si>
    <t>REQ-WFW-021 기능 테스트 진행해야함 (REQ-WFW-001, REQ-WFW-003 테스트 포함)</t>
    <phoneticPr fontId="18" type="noConversion"/>
  </si>
  <si>
    <t>REQ-WFW-022 기능 테스트 진행해야함 (REQ-WFW-001, REQ-WFW-003 테스트 포함)</t>
    <phoneticPr fontId="18" type="noConversion"/>
  </si>
  <si>
    <t>REQ-WFW-023 기능 테스트 진행해야함 (REQ-WFW-001, REQ-WFW-003 테스트 포함)</t>
    <phoneticPr fontId="18" type="noConversion"/>
  </si>
  <si>
    <t>REQ-WFW-024 기능 테스트 진행해야함 (REQ-WFW-001, REQ-WFW-003 테스트 포함)</t>
    <phoneticPr fontId="18" type="noConversion"/>
  </si>
  <si>
    <t>REQ-WFW-025 기능 테스트 진행해야함 (REQ-WFW-001, REQ-WFW-003 테스트 포함)</t>
    <phoneticPr fontId="18" type="noConversion"/>
  </si>
  <si>
    <t>REQ-WFW-026 기능 테스트 진행해야함 (REQ-WFW-001, REQ-WFW-003 테스트 포함)</t>
    <phoneticPr fontId="18" type="noConversion"/>
  </si>
  <si>
    <t>REQ-WFW-027 기능 테스트 진행해야함 (REQ-WFW-001, REQ-WFW-003 테스트 포함)</t>
    <phoneticPr fontId="18" type="noConversion"/>
  </si>
  <si>
    <t>REQ-WFW-028 기능 테스트 진행해야함 (REQ-WFW-001, REQ-WFW-003 테스트 포함)</t>
    <phoneticPr fontId="18" type="noConversion"/>
  </si>
  <si>
    <t>REQ-WFW-029 기능 테스트 진행해야함 (REQ-WFW-001, REQ-WFW-003 테스트 포함)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</si>
</sst>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2">
    <numFmt numFmtId="42" formatCode="_-&quot;₩&quot;* #,##0_-;\-&quot;₩&quot;* #,##0_-;_-&quot;₩&quot;* &quot;-&quot;_-;_-@_-"/>
    <numFmt numFmtId="41" formatCode="_-* #,##0_-;\-* #,##0_-;_-* &quot;-&quot;_-;_-@_-"/>
    <numFmt numFmtId="176" formatCode="_ * #,##0_ ;_ * \-#,##0_ ;_ * &quot;-&quot;_ ;_ @_ "/>
    <numFmt numFmtId="177" formatCode="_ * #,##0.00_ ;_ * \-#,##0.00_ ;_ * &quot;-&quot;??_ ;_ @_ "/>
    <numFmt numFmtId="178" formatCode="_-* #,##0.00_-;&quot;₩&quot;&quot;₩&quot;&quot;₩&quot;\-* #,##0.00_-;_-* &quot;-&quot;??_-;_-@_-"/>
    <numFmt numFmtId="179" formatCode="&quot;₩&quot;&quot;₩&quot;&quot;₩&quot;\$#,##0.00_);&quot;₩&quot;&quot;₩&quot;\(&quot;₩&quot;&quot;₩&quot;&quot;₩&quot;\$#,##0.00&quot;₩&quot;&quot;₩&quot;&quot;₩&quot;\)"/>
    <numFmt numFmtId="180" formatCode="_-* #,##0.00_-;&quot;₩&quot;&quot;₩&quot;&quot;₩&quot;&quot;₩&quot;&quot;₩&quot;\-* #,##0.00_-;_-* &quot;-&quot;??_-;_-@_-"/>
    <numFmt numFmtId="181" formatCode="&quot;₩&quot;#,##0;[Red]&quot;₩&quot;&quot;₩&quot;&quot;₩&quot;&quot;₩&quot;&quot;₩&quot;&quot;₩&quot;&quot;₩&quot;&quot;₩&quot;&quot;₩&quot;\-&quot;₩&quot;#,##0"/>
    <numFmt numFmtId="182" formatCode="_-&quot;₩&quot;* #,##0_-;&quot;₩&quot;&quot;₩&quot;&quot;₩&quot;&quot;₩&quot;&quot;₩&quot;&quot;₩&quot;&quot;₩&quot;&quot;₩&quot;&quot;₩&quot;\-&quot;₩&quot;* #,##0_-;_-&quot;₩&quot;* &quot;-&quot;_-;_-@_-"/>
    <numFmt numFmtId="183" formatCode="&quot;₩&quot;#,##0.00;[Red]&quot;₩&quot;&quot;₩&quot;&quot;₩&quot;&quot;₩&quot;&quot;₩&quot;&quot;₩&quot;&quot;₩&quot;&quot;₩&quot;&quot;₩&quot;&quot;₩&quot;&quot;₩&quot;\-&quot;₩&quot;#,##0.00"/>
    <numFmt numFmtId="184" formatCode="#,##0_ "/>
    <numFmt numFmtId="185" formatCode="_-* #,##0&quot;₩&quot;\ _D_M_-;&quot;₩&quot;\-* #,##0&quot;₩&quot;\ _D_M_-;_-* &quot;-&quot;&quot;₩&quot;\ _D_M_-;_-@_-"/>
    <numFmt numFmtId="186" formatCode="* #,##0.0"/>
    <numFmt numFmtId="187" formatCode="#,##0.00000"/>
    <numFmt numFmtId="188" formatCode="_ * #,##0_ ;_ * &quot;₩&quot;\-#,##0_ ;_ * &quot;-&quot;??_ ;_ @_ "/>
    <numFmt numFmtId="189" formatCode="0.0%;[Red]&quot;△&quot;0.0%"/>
    <numFmt numFmtId="190" formatCode="0.00000000"/>
    <numFmt numFmtId="191" formatCode="_(&quot;$&quot;* #,##0.0_);_(&quot;$&quot;* \(#,##0.0\);_(&quot;$&quot;* &quot;-&quot;_);_(@_)"/>
    <numFmt numFmtId="192" formatCode="_-* #,##0_-;&quot;₩&quot;&quot;₩&quot;&quot;₩&quot;&quot;₩&quot;&quot;₩&quot;&quot;₩&quot;&quot;₩&quot;&quot;₩&quot;&quot;₩&quot;&quot;₩&quot;&quot;₩&quot;&quot;₩&quot;&quot;₩&quot;&quot;₩&quot;\-* #,##0_-;_-* &quot;-&quot;_-;_-@_-"/>
    <numFmt numFmtId="193" formatCode="_(&quot;$&quot;* #,##0_);_(&quot;$&quot;* \(#,##0\);_(&quot;$&quot;* &quot;-&quot;_);_(@_)"/>
    <numFmt numFmtId="194" formatCode="_(&quot;$&quot;* #,##0.00_);_(&quot;$&quot;* \(#,##0.00\);_(&quot;$&quot;* &quot;-&quot;??_);_(@_)"/>
    <numFmt numFmtId="195" formatCode="_-&quot;₩&quot;* #,##0.00_-;&quot;₩&quot;&quot;₩&quot;&quot;₩&quot;&quot;₩&quot;&quot;₩&quot;&quot;₩&quot;&quot;₩&quot;&quot;₩&quot;&quot;₩&quot;&quot;₩&quot;&quot;₩&quot;&quot;₩&quot;&quot;₩&quot;&quot;₩&quot;&quot;₩&quot;&quot;₩&quot;\-&quot;₩&quot;* #,##0.00_-;_-&quot;₩&quot;* &quot;-&quot;??_-;_-@_-"/>
    <numFmt numFmtId="196" formatCode="&quot;₩&quot;#,##0;&quot;₩&quot;&quot;₩&quot;&quot;₩&quot;&quot;₩&quot;&quot;₩&quot;&quot;₩&quot;&quot;₩&quot;&quot;₩&quot;&quot;₩&quot;&quot;₩&quot;&quot;₩&quot;&quot;₩&quot;&quot;₩&quot;&quot;₩&quot;&quot;₩&quot;&quot;₩&quot;&quot;₩&quot;\-&quot;₩&quot;#,##0"/>
    <numFmt numFmtId="197" formatCode="###,###,"/>
    <numFmt numFmtId="198" formatCode="#.##,"/>
    <numFmt numFmtId="199" formatCode="0.00000%"/>
    <numFmt numFmtId="200" formatCode="_ &quot;₩&quot;* #,##0.0000000_ ;_ &quot;₩&quot;* &quot;₩&quot;\-#,##0.0000000_ ;_ &quot;₩&quot;* &quot;-&quot;??_ ;_ @_ "/>
    <numFmt numFmtId="201" formatCode="#,##0;[Red]&quot;△&quot;#,##0"/>
    <numFmt numFmtId="202" formatCode="_ * #,##0.000000_ ;_ * &quot;₩&quot;\-#,##0.000000_ ;_ * &quot;-&quot;??_ ;_ @_ "/>
    <numFmt numFmtId="203" formatCode="#,##0.0"/>
    <numFmt numFmtId="204" formatCode="m&quot;/&quot;d"/>
    <numFmt numFmtId="205" formatCode="0.0"/>
  </numFmts>
  <fonts count="54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0"/>
      <name val="MS Sans Serif"/>
      <family val="2"/>
    </font>
    <font>
      <b/>
      <sz val="10"/>
      <name val="Helv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8"/>
      <name val="돋움"/>
      <family val="3"/>
      <charset val="129"/>
    </font>
    <font>
      <sz val="10"/>
      <name val="바탕체"/>
      <family val="1"/>
      <charset val="129"/>
    </font>
    <font>
      <sz val="11"/>
      <name val="돋움"/>
      <family val="3"/>
      <charset val="129"/>
    </font>
    <font>
      <b/>
      <sz val="10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name val="Helv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20"/>
      <name val="HP Logo LG"/>
      <charset val="2"/>
    </font>
    <font>
      <u/>
      <sz val="8"/>
      <color indexed="12"/>
      <name val="Times New Roman"/>
      <family val="1"/>
    </font>
    <font>
      <sz val="10"/>
      <color indexed="8"/>
      <name val="MS Sans Serif"/>
      <family val="2"/>
    </font>
    <font>
      <u/>
      <sz val="11"/>
      <color indexed="36"/>
      <name val="돋움"/>
      <family val="3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u/>
      <sz val="11"/>
      <color indexed="12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b/>
      <sz val="14"/>
      <color theme="1"/>
      <name val="Book Antiqua"/>
      <family val="1"/>
    </font>
    <font>
      <b/>
      <sz val="28"/>
      <name val="맑은 고딕"/>
      <family val="3"/>
      <charset val="129"/>
      <scheme val="minor"/>
    </font>
    <font>
      <b/>
      <sz val="24"/>
      <name val="맑은 고딕"/>
      <family val="3"/>
      <charset val="129"/>
      <scheme val="minor"/>
    </font>
    <font>
      <b/>
      <sz val="22"/>
      <name val="맑은 고딕"/>
      <family val="3"/>
      <charset val="129"/>
      <scheme val="minor"/>
    </font>
    <font>
      <b/>
      <i/>
      <sz val="24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ajor"/>
    </font>
    <font>
      <b/>
      <sz val="12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29">
    <xf numFmtId="0" fontId="0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1" fillId="0" borderId="0"/>
    <xf numFmtId="0" fontId="10" fillId="0" borderId="0"/>
    <xf numFmtId="178" fontId="9" fillId="0" borderId="0" applyFont="0" applyFill="0" applyBorder="0" applyAlignment="0" applyProtection="0"/>
    <xf numFmtId="179" fontId="9" fillId="0" borderId="0" applyFont="0" applyFill="0" applyBorder="0" applyAlignment="0" applyProtection="0"/>
    <xf numFmtId="0" fontId="12" fillId="0" borderId="0"/>
    <xf numFmtId="0" fontId="10" fillId="0" borderId="0"/>
    <xf numFmtId="0" fontId="13" fillId="0" borderId="0"/>
    <xf numFmtId="183" fontId="9" fillId="0" borderId="0"/>
    <xf numFmtId="183" fontId="20" fillId="0" borderId="0"/>
    <xf numFmtId="181" fontId="9" fillId="0" borderId="0"/>
    <xf numFmtId="181" fontId="20" fillId="0" borderId="0"/>
    <xf numFmtId="182" fontId="9" fillId="0" borderId="0"/>
    <xf numFmtId="182" fontId="20" fillId="0" borderId="0"/>
    <xf numFmtId="38" fontId="14" fillId="2" borderId="0" applyNumberFormat="0" applyBorder="0" applyAlignment="0" applyProtection="0"/>
    <xf numFmtId="0" fontId="15" fillId="0" borderId="0">
      <alignment horizontal="left"/>
    </xf>
    <xf numFmtId="0" fontId="16" fillId="0" borderId="1" applyNumberFormat="0" applyAlignment="0" applyProtection="0">
      <alignment horizontal="left" vertical="center"/>
    </xf>
    <xf numFmtId="0" fontId="16" fillId="0" borderId="2">
      <alignment horizontal="left" vertical="center"/>
    </xf>
    <xf numFmtId="10" fontId="14" fillId="2" borderId="3" applyNumberFormat="0" applyBorder="0" applyAlignment="0" applyProtection="0"/>
    <xf numFmtId="0" fontId="17" fillId="0" borderId="4"/>
    <xf numFmtId="180" fontId="9" fillId="0" borderId="0"/>
    <xf numFmtId="180" fontId="20" fillId="0" borderId="0"/>
    <xf numFmtId="10" fontId="10" fillId="0" borderId="0" applyFont="0" applyFill="0" applyBorder="0" applyAlignment="0" applyProtection="0"/>
    <xf numFmtId="0" fontId="17" fillId="0" borderId="0"/>
    <xf numFmtId="0" fontId="10" fillId="0" borderId="0"/>
    <xf numFmtId="0" fontId="20" fillId="0" borderId="0">
      <alignment vertical="center"/>
    </xf>
    <xf numFmtId="0" fontId="22" fillId="0" borderId="0">
      <alignment vertical="center"/>
    </xf>
    <xf numFmtId="0" fontId="27" fillId="0" borderId="0">
      <alignment vertical="center"/>
    </xf>
    <xf numFmtId="0" fontId="20" fillId="0" borderId="0" applyNumberFormat="0" applyFill="0" applyBorder="0" applyAlignment="0" applyProtection="0"/>
    <xf numFmtId="0" fontId="28" fillId="0" borderId="0"/>
    <xf numFmtId="0" fontId="10" fillId="0" borderId="0"/>
    <xf numFmtId="0" fontId="11" fillId="0" borderId="0"/>
    <xf numFmtId="0" fontId="11" fillId="0" borderId="0"/>
    <xf numFmtId="0" fontId="28" fillId="0" borderId="0"/>
    <xf numFmtId="0" fontId="10" fillId="0" borderId="0"/>
    <xf numFmtId="0" fontId="11" fillId="0" borderId="0"/>
    <xf numFmtId="0" fontId="28" fillId="0" borderId="0"/>
    <xf numFmtId="9" fontId="10" fillId="4" borderId="0"/>
    <xf numFmtId="0" fontId="20" fillId="0" borderId="0" applyFill="0" applyBorder="0" applyAlignment="0"/>
    <xf numFmtId="185" fontId="20" fillId="0" borderId="0" applyFill="0" applyBorder="0" applyAlignment="0"/>
    <xf numFmtId="186" fontId="20" fillId="0" borderId="0" applyFill="0" applyBorder="0" applyAlignment="0"/>
    <xf numFmtId="187" fontId="20" fillId="0" borderId="0" applyFill="0" applyBorder="0" applyAlignment="0"/>
    <xf numFmtId="188" fontId="20" fillId="0" borderId="0" applyFill="0" applyBorder="0" applyAlignment="0"/>
    <xf numFmtId="189" fontId="20" fillId="0" borderId="0" applyFill="0" applyBorder="0" applyAlignment="0"/>
    <xf numFmtId="190" fontId="20" fillId="0" borderId="0" applyFill="0" applyBorder="0" applyAlignment="0"/>
    <xf numFmtId="185" fontId="20" fillId="0" borderId="0" applyFill="0" applyBorder="0" applyAlignment="0"/>
    <xf numFmtId="191" fontId="10" fillId="0" borderId="0"/>
    <xf numFmtId="191" fontId="10" fillId="0" borderId="0"/>
    <xf numFmtId="191" fontId="10" fillId="0" borderId="0"/>
    <xf numFmtId="191" fontId="10" fillId="0" borderId="0"/>
    <xf numFmtId="191" fontId="10" fillId="0" borderId="0"/>
    <xf numFmtId="191" fontId="10" fillId="0" borderId="0"/>
    <xf numFmtId="191" fontId="10" fillId="0" borderId="0"/>
    <xf numFmtId="191" fontId="10" fillId="0" borderId="0"/>
    <xf numFmtId="176" fontId="10" fillId="0" borderId="0" applyFont="0" applyFill="0" applyBorder="0" applyAlignment="0" applyProtection="0"/>
    <xf numFmtId="189" fontId="20" fillId="0" borderId="0" applyFont="0" applyFill="0" applyBorder="0" applyAlignment="0" applyProtection="0"/>
    <xf numFmtId="192" fontId="20" fillId="0" borderId="0"/>
    <xf numFmtId="177" fontId="10" fillId="0" borderId="0" applyFont="0" applyFill="0" applyBorder="0" applyAlignment="0" applyProtection="0"/>
    <xf numFmtId="193" fontId="10" fillId="0" borderId="0" applyFont="0" applyFill="0" applyBorder="0" applyAlignment="0" applyProtection="0"/>
    <xf numFmtId="185" fontId="20" fillId="0" borderId="0" applyFont="0" applyFill="0" applyBorder="0" applyAlignment="0" applyProtection="0"/>
    <xf numFmtId="194" fontId="10" fillId="0" borderId="0" applyFont="0" applyFill="0" applyBorder="0" applyAlignment="0" applyProtection="0"/>
    <xf numFmtId="195" fontId="20" fillId="0" borderId="0"/>
    <xf numFmtId="14" fontId="29" fillId="0" borderId="0" applyFill="0" applyBorder="0" applyAlignment="0"/>
    <xf numFmtId="38" fontId="12" fillId="0" borderId="8">
      <alignment vertical="center"/>
    </xf>
    <xf numFmtId="196" fontId="20" fillId="0" borderId="0"/>
    <xf numFmtId="189" fontId="20" fillId="0" borderId="0" applyFill="0" applyBorder="0" applyAlignment="0"/>
    <xf numFmtId="185" fontId="20" fillId="0" borderId="0" applyFill="0" applyBorder="0" applyAlignment="0"/>
    <xf numFmtId="189" fontId="20" fillId="0" borderId="0" applyFill="0" applyBorder="0" applyAlignment="0"/>
    <xf numFmtId="190" fontId="20" fillId="0" borderId="0" applyFill="0" applyBorder="0" applyAlignment="0"/>
    <xf numFmtId="185" fontId="20" fillId="0" borderId="0" applyFill="0" applyBorder="0" applyAlignment="0"/>
    <xf numFmtId="38" fontId="14" fillId="5" borderId="0" applyNumberFormat="0" applyBorder="0" applyAlignment="0" applyProtection="0"/>
    <xf numFmtId="0" fontId="30" fillId="0" borderId="9" applyFill="0" applyBorder="0"/>
    <xf numFmtId="0" fontId="14" fillId="0" borderId="9" applyBorder="0">
      <alignment horizontal="center" vertical="center"/>
    </xf>
    <xf numFmtId="0" fontId="31" fillId="0" borderId="9" applyBorder="0">
      <alignment horizontal="center" vertical="center"/>
    </xf>
    <xf numFmtId="0" fontId="16" fillId="0" borderId="7">
      <alignment horizontal="left" vertical="center"/>
    </xf>
    <xf numFmtId="0" fontId="32" fillId="0" borderId="9" applyBorder="0">
      <alignment horizontal="center" vertical="center"/>
    </xf>
    <xf numFmtId="0" fontId="33" fillId="0" borderId="0" applyNumberFormat="0" applyFill="0" applyBorder="0" applyAlignment="0" applyProtection="0">
      <alignment vertical="top"/>
      <protection locked="0"/>
    </xf>
    <xf numFmtId="10" fontId="14" fillId="6" borderId="3" applyNumberFormat="0" applyBorder="0" applyAlignment="0" applyProtection="0"/>
    <xf numFmtId="197" fontId="20" fillId="0" borderId="0" applyFont="0" applyFill="0" applyBorder="0" applyAlignment="0" applyProtection="0"/>
    <xf numFmtId="184" fontId="20" fillId="0" borderId="0" applyFont="0" applyFill="0" applyBorder="0" applyAlignment="0" applyProtection="0"/>
    <xf numFmtId="189" fontId="20" fillId="0" borderId="0" applyFill="0" applyBorder="0" applyAlignment="0"/>
    <xf numFmtId="185" fontId="20" fillId="0" borderId="0" applyFill="0" applyBorder="0" applyAlignment="0"/>
    <xf numFmtId="189" fontId="20" fillId="0" borderId="0" applyFill="0" applyBorder="0" applyAlignment="0"/>
    <xf numFmtId="190" fontId="20" fillId="0" borderId="0" applyFill="0" applyBorder="0" applyAlignment="0"/>
    <xf numFmtId="185" fontId="20" fillId="0" borderId="0" applyFill="0" applyBorder="0" applyAlignment="0"/>
    <xf numFmtId="198" fontId="20" fillId="0" borderId="0"/>
    <xf numFmtId="0" fontId="10" fillId="0" borderId="0"/>
    <xf numFmtId="188" fontId="20" fillId="0" borderId="0" applyFont="0" applyFill="0" applyBorder="0" applyAlignment="0" applyProtection="0"/>
    <xf numFmtId="199" fontId="20" fillId="0" borderId="0" applyFont="0" applyFill="0" applyBorder="0" applyAlignment="0" applyProtection="0"/>
    <xf numFmtId="200" fontId="20" fillId="0" borderId="0" applyFont="0" applyFill="0" applyBorder="0" applyAlignment="0" applyProtection="0"/>
    <xf numFmtId="189" fontId="20" fillId="0" borderId="0" applyFill="0" applyBorder="0" applyAlignment="0"/>
    <xf numFmtId="185" fontId="20" fillId="0" borderId="0" applyFill="0" applyBorder="0" applyAlignment="0"/>
    <xf numFmtId="189" fontId="20" fillId="0" borderId="0" applyFill="0" applyBorder="0" applyAlignment="0"/>
    <xf numFmtId="190" fontId="20" fillId="0" borderId="0" applyFill="0" applyBorder="0" applyAlignment="0"/>
    <xf numFmtId="185" fontId="20" fillId="0" borderId="0" applyFill="0" applyBorder="0" applyAlignment="0"/>
    <xf numFmtId="9" fontId="34" fillId="0" borderId="0" applyFont="0" applyFill="0" applyProtection="0"/>
    <xf numFmtId="0" fontId="20" fillId="0" borderId="0"/>
    <xf numFmtId="0" fontId="34" fillId="0" borderId="0"/>
    <xf numFmtId="49" fontId="29" fillId="0" borderId="0" applyFill="0" applyBorder="0" applyAlignment="0"/>
    <xf numFmtId="200" fontId="20" fillId="0" borderId="0" applyFill="0" applyBorder="0" applyAlignment="0"/>
    <xf numFmtId="201" fontId="20" fillId="0" borderId="0" applyFill="0" applyBorder="0" applyAlignment="0"/>
    <xf numFmtId="202" fontId="20" fillId="0" borderId="0" applyFont="0" applyFill="0" applyBorder="0" applyAlignment="0" applyProtection="0"/>
    <xf numFmtId="203" fontId="20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9" fontId="27" fillId="0" borderId="0" applyFont="0" applyFill="0" applyBorder="0" applyAlignment="0" applyProtection="0">
      <alignment vertical="center"/>
    </xf>
    <xf numFmtId="9" fontId="20" fillId="0" borderId="0" applyFont="0" applyFill="0" applyBorder="0" applyAlignment="0" applyProtection="0"/>
    <xf numFmtId="0" fontId="37" fillId="0" borderId="0"/>
    <xf numFmtId="41" fontId="27" fillId="0" borderId="0" applyFont="0" applyFill="0" applyBorder="0" applyAlignment="0" applyProtection="0">
      <alignment vertical="center"/>
    </xf>
    <xf numFmtId="41" fontId="20" fillId="0" borderId="0" applyFont="0" applyFill="0" applyBorder="0" applyAlignment="0" applyProtection="0"/>
    <xf numFmtId="0" fontId="28" fillId="0" borderId="0"/>
    <xf numFmtId="0" fontId="38" fillId="0" borderId="10"/>
    <xf numFmtId="204" fontId="11" fillId="0" borderId="0" applyFont="0" applyFill="0" applyBorder="0" applyAlignment="0" applyProtection="0"/>
    <xf numFmtId="0" fontId="11" fillId="0" borderId="0"/>
    <xf numFmtId="176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94" fontId="10" fillId="0" borderId="0" applyFont="0" applyFill="0" applyBorder="0" applyAlignment="0" applyProtection="0"/>
    <xf numFmtId="42" fontId="20" fillId="0" borderId="0" applyFont="0" applyFill="0" applyBorder="0" applyAlignment="0" applyProtection="0"/>
    <xf numFmtId="42" fontId="20" fillId="0" borderId="0" applyFont="0" applyFill="0" applyBorder="0" applyAlignment="0" applyProtection="0"/>
    <xf numFmtId="193" fontId="10" fillId="0" borderId="0" applyFont="0" applyFill="0" applyBorder="0" applyAlignment="0" applyProtection="0"/>
    <xf numFmtId="0" fontId="27" fillId="0" borderId="0">
      <alignment vertical="center"/>
    </xf>
    <xf numFmtId="0" fontId="20" fillId="0" borderId="0"/>
    <xf numFmtId="0" fontId="22" fillId="0" borderId="0">
      <alignment vertical="center"/>
    </xf>
    <xf numFmtId="0" fontId="27" fillId="0" borderId="0">
      <alignment vertical="center"/>
    </xf>
    <xf numFmtId="0" fontId="20" fillId="0" borderId="0"/>
    <xf numFmtId="0" fontId="27" fillId="0" borderId="0">
      <alignment vertical="center"/>
    </xf>
    <xf numFmtId="0" fontId="10" fillId="0" borderId="0"/>
    <xf numFmtId="0" fontId="39" fillId="0" borderId="0" applyNumberFormat="0" applyFill="0" applyBorder="0" applyAlignment="0" applyProtection="0">
      <alignment vertical="top"/>
      <protection locked="0"/>
    </xf>
    <xf numFmtId="0" fontId="10" fillId="0" borderId="0" applyFont="0" applyFill="0" applyBorder="0" applyAlignment="0" applyProtection="0"/>
    <xf numFmtId="0" fontId="10" fillId="0" borderId="0" applyFont="0" applyFill="0" applyBorder="0" applyAlignment="0" applyProtection="0"/>
    <xf numFmtId="10" fontId="14" fillId="6" borderId="11" applyNumberFormat="0" applyBorder="0" applyAlignment="0" applyProtection="0"/>
    <xf numFmtId="0" fontId="8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183" fontId="9" fillId="0" borderId="0"/>
    <xf numFmtId="181" fontId="9" fillId="0" borderId="0"/>
    <xf numFmtId="182" fontId="9" fillId="0" borderId="0"/>
    <xf numFmtId="10" fontId="14" fillId="2" borderId="11" applyNumberFormat="0" applyBorder="0" applyAlignment="0" applyProtection="0"/>
    <xf numFmtId="180" fontId="9" fillId="0" borderId="0"/>
    <xf numFmtId="0" fontId="9" fillId="0" borderId="0">
      <alignment vertical="center"/>
    </xf>
    <xf numFmtId="0" fontId="5" fillId="0" borderId="0">
      <alignment vertical="center"/>
    </xf>
    <xf numFmtId="0" fontId="9" fillId="0" borderId="0" applyNumberFormat="0" applyFill="0" applyBorder="0" applyAlignment="0" applyProtection="0"/>
    <xf numFmtId="0" fontId="9" fillId="0" borderId="0" applyFill="0" applyBorder="0" applyAlignment="0"/>
    <xf numFmtId="185" fontId="9" fillId="0" borderId="0" applyFill="0" applyBorder="0" applyAlignment="0"/>
    <xf numFmtId="186" fontId="9" fillId="0" borderId="0" applyFill="0" applyBorder="0" applyAlignment="0"/>
    <xf numFmtId="187" fontId="9" fillId="0" borderId="0" applyFill="0" applyBorder="0" applyAlignment="0"/>
    <xf numFmtId="188" fontId="9" fillId="0" borderId="0" applyFill="0" applyBorder="0" applyAlignment="0"/>
    <xf numFmtId="189" fontId="9" fillId="0" borderId="0" applyFill="0" applyBorder="0" applyAlignment="0"/>
    <xf numFmtId="190" fontId="9" fillId="0" borderId="0" applyFill="0" applyBorder="0" applyAlignment="0"/>
    <xf numFmtId="185" fontId="9" fillId="0" borderId="0" applyFill="0" applyBorder="0" applyAlignment="0"/>
    <xf numFmtId="189" fontId="9" fillId="0" borderId="0" applyFont="0" applyFill="0" applyBorder="0" applyAlignment="0" applyProtection="0"/>
    <xf numFmtId="192" fontId="9" fillId="0" borderId="0"/>
    <xf numFmtId="185" fontId="9" fillId="0" borderId="0" applyFont="0" applyFill="0" applyBorder="0" applyAlignment="0" applyProtection="0"/>
    <xf numFmtId="195" fontId="9" fillId="0" borderId="0"/>
    <xf numFmtId="196" fontId="9" fillId="0" borderId="0"/>
    <xf numFmtId="189" fontId="9" fillId="0" borderId="0" applyFill="0" applyBorder="0" applyAlignment="0"/>
    <xf numFmtId="185" fontId="9" fillId="0" borderId="0" applyFill="0" applyBorder="0" applyAlignment="0"/>
    <xf numFmtId="189" fontId="9" fillId="0" borderId="0" applyFill="0" applyBorder="0" applyAlignment="0"/>
    <xf numFmtId="190" fontId="9" fillId="0" borderId="0" applyFill="0" applyBorder="0" applyAlignment="0"/>
    <xf numFmtId="185" fontId="9" fillId="0" borderId="0" applyFill="0" applyBorder="0" applyAlignment="0"/>
    <xf numFmtId="10" fontId="14" fillId="6" borderId="11" applyNumberFormat="0" applyBorder="0" applyAlignment="0" applyProtection="0"/>
    <xf numFmtId="189" fontId="9" fillId="0" borderId="0" applyFill="0" applyBorder="0" applyAlignment="0"/>
    <xf numFmtId="185" fontId="9" fillId="0" borderId="0" applyFill="0" applyBorder="0" applyAlignment="0"/>
    <xf numFmtId="189" fontId="9" fillId="0" borderId="0" applyFill="0" applyBorder="0" applyAlignment="0"/>
    <xf numFmtId="190" fontId="9" fillId="0" borderId="0" applyFill="0" applyBorder="0" applyAlignment="0"/>
    <xf numFmtId="185" fontId="9" fillId="0" borderId="0" applyFill="0" applyBorder="0" applyAlignment="0"/>
    <xf numFmtId="198" fontId="9" fillId="0" borderId="0"/>
    <xf numFmtId="188" fontId="9" fillId="0" borderId="0" applyFont="0" applyFill="0" applyBorder="0" applyAlignment="0" applyProtection="0"/>
    <xf numFmtId="199" fontId="9" fillId="0" borderId="0" applyFont="0" applyFill="0" applyBorder="0" applyAlignment="0" applyProtection="0"/>
    <xf numFmtId="189" fontId="9" fillId="0" borderId="0" applyFill="0" applyBorder="0" applyAlignment="0"/>
    <xf numFmtId="185" fontId="9" fillId="0" borderId="0" applyFill="0" applyBorder="0" applyAlignment="0"/>
    <xf numFmtId="189" fontId="9" fillId="0" borderId="0" applyFill="0" applyBorder="0" applyAlignment="0"/>
    <xf numFmtId="190" fontId="9" fillId="0" borderId="0" applyFill="0" applyBorder="0" applyAlignment="0"/>
    <xf numFmtId="185" fontId="9" fillId="0" borderId="0" applyFill="0" applyBorder="0" applyAlignment="0"/>
    <xf numFmtId="0" fontId="9" fillId="0" borderId="0"/>
    <xf numFmtId="200" fontId="9" fillId="0" borderId="0" applyFill="0" applyBorder="0" applyAlignment="0"/>
    <xf numFmtId="201" fontId="9" fillId="0" borderId="0" applyFill="0" applyBorder="0" applyAlignment="0"/>
    <xf numFmtId="9" fontId="5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/>
    <xf numFmtId="41" fontId="5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5" fillId="0" borderId="0">
      <alignment vertical="center"/>
    </xf>
    <xf numFmtId="0" fontId="9" fillId="0" borderId="0"/>
    <xf numFmtId="0" fontId="5" fillId="0" borderId="0">
      <alignment vertical="center"/>
    </xf>
    <xf numFmtId="0" fontId="9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9" fillId="0" borderId="0"/>
    <xf numFmtId="0" fontId="9" fillId="0" borderId="0">
      <alignment vertical="center"/>
    </xf>
  </cellStyleXfs>
  <cellXfs count="115">
    <xf numFmtId="0" fontId="0" fillId="0" borderId="0" xfId="0"/>
    <xf numFmtId="0" fontId="19" fillId="0" borderId="0" xfId="0" applyFont="1"/>
    <xf numFmtId="0" fontId="19" fillId="0" borderId="3" xfId="0" applyFont="1" applyBorder="1"/>
    <xf numFmtId="0" fontId="21" fillId="3" borderId="3" xfId="0" applyFont="1" applyFill="1" applyBorder="1" applyAlignment="1">
      <alignment horizontal="center"/>
    </xf>
    <xf numFmtId="0" fontId="21" fillId="3" borderId="3" xfId="0" applyFont="1" applyFill="1" applyBorder="1"/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6" fillId="0" borderId="0" xfId="0" applyFont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6" fillId="0" borderId="0" xfId="0" applyFont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 wrapText="1"/>
    </xf>
    <xf numFmtId="14" fontId="25" fillId="0" borderId="0" xfId="0" applyNumberFormat="1" applyFont="1" applyFill="1" applyBorder="1" applyAlignment="1">
      <alignment horizontal="center" vertical="center" wrapText="1"/>
    </xf>
    <xf numFmtId="14" fontId="25" fillId="0" borderId="0" xfId="0" applyNumberFormat="1" applyFont="1" applyFill="1" applyBorder="1" applyAlignment="1">
      <alignment vertical="center" wrapText="1"/>
    </xf>
    <xf numFmtId="0" fontId="25" fillId="0" borderId="0" xfId="0" applyFont="1" applyFill="1" applyBorder="1" applyAlignment="1">
      <alignment vertical="center" wrapText="1"/>
    </xf>
    <xf numFmtId="0" fontId="48" fillId="8" borderId="12" xfId="0" applyFont="1" applyFill="1" applyBorder="1" applyAlignment="1">
      <alignment horizontal="center" vertical="center" wrapText="1"/>
    </xf>
    <xf numFmtId="0" fontId="48" fillId="8" borderId="28" xfId="0" applyFont="1" applyFill="1" applyBorder="1" applyAlignment="1">
      <alignment horizontal="center" vertical="center" wrapText="1"/>
    </xf>
    <xf numFmtId="0" fontId="48" fillId="8" borderId="31" xfId="0" applyFont="1" applyFill="1" applyBorder="1" applyAlignment="1">
      <alignment horizontal="center" vertical="center" wrapText="1"/>
    </xf>
    <xf numFmtId="0" fontId="47" fillId="0" borderId="4" xfId="0" applyFont="1" applyFill="1" applyBorder="1" applyAlignment="1">
      <alignment horizontal="right" vertical="center" wrapText="1"/>
    </xf>
    <xf numFmtId="14" fontId="25" fillId="0" borderId="4" xfId="0" applyNumberFormat="1" applyFont="1" applyFill="1" applyBorder="1" applyAlignment="1">
      <alignment vertical="center" wrapText="1"/>
    </xf>
    <xf numFmtId="0" fontId="25" fillId="0" borderId="4" xfId="0" applyFont="1" applyFill="1" applyBorder="1" applyAlignment="1">
      <alignment vertical="center" wrapText="1"/>
    </xf>
    <xf numFmtId="0" fontId="25" fillId="0" borderId="4" xfId="0" applyFont="1" applyFill="1" applyBorder="1" applyAlignment="1">
      <alignment horizontal="right" wrapText="1"/>
    </xf>
    <xf numFmtId="0" fontId="25" fillId="0" borderId="4" xfId="0" applyFont="1" applyFill="1" applyBorder="1" applyAlignment="1">
      <alignment wrapText="1"/>
    </xf>
    <xf numFmtId="0" fontId="25" fillId="0" borderId="4" xfId="0" applyFont="1" applyFill="1" applyBorder="1" applyAlignment="1">
      <alignment horizontal="left" wrapText="1"/>
    </xf>
    <xf numFmtId="14" fontId="25" fillId="0" borderId="4" xfId="0" applyNumberFormat="1" applyFont="1" applyFill="1" applyBorder="1" applyAlignment="1">
      <alignment horizontal="left" wrapText="1"/>
    </xf>
    <xf numFmtId="0" fontId="49" fillId="0" borderId="11" xfId="0" applyFont="1" applyFill="1" applyBorder="1" applyAlignment="1">
      <alignment horizontal="center" vertical="center" wrapText="1"/>
    </xf>
    <xf numFmtId="0" fontId="48" fillId="8" borderId="30" xfId="0" applyFont="1" applyFill="1" applyBorder="1" applyAlignment="1">
      <alignment horizontal="center" vertical="center" wrapText="1"/>
    </xf>
    <xf numFmtId="0" fontId="25" fillId="0" borderId="4" xfId="0" applyFont="1" applyFill="1" applyBorder="1" applyAlignment="1">
      <alignment horizontal="center" vertical="center" wrapText="1"/>
    </xf>
    <xf numFmtId="0" fontId="41" fillId="7" borderId="0" xfId="226" applyFont="1" applyFill="1">
      <alignment vertical="center"/>
    </xf>
    <xf numFmtId="0" fontId="1" fillId="0" borderId="0" xfId="226">
      <alignment vertical="center"/>
    </xf>
    <xf numFmtId="0" fontId="42" fillId="0" borderId="0" xfId="226" applyFont="1">
      <alignment vertical="center"/>
    </xf>
    <xf numFmtId="0" fontId="41" fillId="7" borderId="0" xfId="226" applyFont="1" applyFill="1" applyBorder="1">
      <alignment vertical="center"/>
    </xf>
    <xf numFmtId="0" fontId="43" fillId="7" borderId="0" xfId="226" applyFont="1" applyFill="1" applyBorder="1" applyAlignment="1">
      <alignment horizontal="right"/>
    </xf>
    <xf numFmtId="0" fontId="44" fillId="7" borderId="0" xfId="226" applyFont="1" applyFill="1" applyAlignment="1">
      <alignment horizontal="right" vertical="center"/>
    </xf>
    <xf numFmtId="0" fontId="45" fillId="7" borderId="0" xfId="226" applyFont="1" applyFill="1" applyAlignment="1">
      <alignment horizontal="right" vertical="center"/>
    </xf>
    <xf numFmtId="0" fontId="46" fillId="7" borderId="0" xfId="226" applyFont="1" applyFill="1" applyAlignment="1">
      <alignment horizontal="right" vertical="center"/>
    </xf>
    <xf numFmtId="0" fontId="23" fillId="7" borderId="0" xfId="226" applyFont="1" applyFill="1" applyAlignment="1">
      <alignment horizontal="left" vertical="center"/>
    </xf>
    <xf numFmtId="0" fontId="23" fillId="7" borderId="0" xfId="226" applyFont="1" applyFill="1" applyAlignment="1">
      <alignment horizontal="center" vertical="center"/>
    </xf>
    <xf numFmtId="0" fontId="24" fillId="0" borderId="0" xfId="226" applyFont="1">
      <alignment vertical="center"/>
    </xf>
    <xf numFmtId="0" fontId="25" fillId="0" borderId="0" xfId="226" applyFont="1" applyBorder="1" applyAlignment="1">
      <alignment horizontal="center" vertical="center" wrapText="1"/>
    </xf>
    <xf numFmtId="0" fontId="41" fillId="0" borderId="0" xfId="226" applyFont="1" applyBorder="1" applyAlignment="1">
      <alignment horizontal="center" vertical="center"/>
    </xf>
    <xf numFmtId="0" fontId="25" fillId="0" borderId="0" xfId="226" applyFont="1" applyBorder="1" applyAlignment="1">
      <alignment horizontal="center" vertical="center"/>
    </xf>
    <xf numFmtId="0" fontId="49" fillId="0" borderId="11" xfId="0" applyFont="1" applyFill="1" applyBorder="1" applyAlignment="1">
      <alignment horizontal="left" vertical="center" wrapText="1"/>
    </xf>
    <xf numFmtId="14" fontId="49" fillId="0" borderId="11" xfId="0" applyNumberFormat="1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center" vertical="center" wrapText="1"/>
    </xf>
    <xf numFmtId="0" fontId="51" fillId="0" borderId="11" xfId="227" applyFont="1" applyBorder="1" applyAlignment="1">
      <alignment horizontal="center" vertical="center" wrapText="1"/>
    </xf>
    <xf numFmtId="0" fontId="51" fillId="9" borderId="11" xfId="228" applyFont="1" applyFill="1" applyBorder="1" applyAlignment="1">
      <alignment horizontal="center" vertical="center" wrapText="1"/>
    </xf>
    <xf numFmtId="0" fontId="51" fillId="0" borderId="11" xfId="227" applyFont="1" applyBorder="1" applyAlignment="1">
      <alignment vertical="center" wrapText="1"/>
    </xf>
    <xf numFmtId="0" fontId="26" fillId="0" borderId="11" xfId="0" applyFont="1" applyBorder="1" applyAlignment="1">
      <alignment vertical="center" wrapText="1"/>
    </xf>
    <xf numFmtId="0" fontId="26" fillId="0" borderId="11" xfId="0" applyFont="1" applyBorder="1" applyAlignment="1">
      <alignment horizontal="left" vertical="center" wrapText="1"/>
    </xf>
    <xf numFmtId="0" fontId="52" fillId="0" borderId="11" xfId="227" applyFont="1" applyBorder="1" applyAlignment="1">
      <alignment vertical="center" wrapText="1"/>
    </xf>
    <xf numFmtId="0" fontId="51" fillId="0" borderId="11" xfId="192" applyFont="1" applyBorder="1" applyAlignment="1">
      <alignment horizontal="center" vertical="center" wrapText="1"/>
    </xf>
    <xf numFmtId="0" fontId="53" fillId="0" borderId="11" xfId="0" applyFont="1" applyBorder="1" applyAlignment="1">
      <alignment horizontal="center" vertical="center" wrapText="1"/>
    </xf>
    <xf numFmtId="0" fontId="49" fillId="9" borderId="11" xfId="0" applyFont="1" applyFill="1" applyBorder="1" applyAlignment="1">
      <alignment horizontal="center" vertical="center" wrapText="1"/>
    </xf>
    <xf numFmtId="0" fontId="49" fillId="0" borderId="11" xfId="0" applyFont="1" applyBorder="1" applyAlignment="1">
      <alignment horizontal="left" vertical="center" wrapText="1"/>
    </xf>
    <xf numFmtId="0" fontId="49" fillId="0" borderId="11" xfId="0" applyFont="1" applyBorder="1" applyAlignment="1">
      <alignment horizontal="left" vertical="top" wrapText="1"/>
    </xf>
    <xf numFmtId="0" fontId="49" fillId="0" borderId="11" xfId="0" quotePrefix="1" applyFont="1" applyBorder="1" applyAlignment="1">
      <alignment horizontal="left" vertical="top" wrapText="1"/>
    </xf>
    <xf numFmtId="0" fontId="49" fillId="0" borderId="11" xfId="0" quotePrefix="1" applyFont="1" applyFill="1" applyBorder="1" applyAlignment="1">
      <alignment horizontal="left" vertical="top" wrapText="1"/>
    </xf>
    <xf numFmtId="0" fontId="49" fillId="0" borderId="11" xfId="0" applyFont="1" applyFill="1" applyBorder="1" applyAlignment="1">
      <alignment horizontal="left" vertical="top" wrapText="1"/>
    </xf>
    <xf numFmtId="0" fontId="52" fillId="0" borderId="11" xfId="192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48" fillId="8" borderId="32" xfId="0" applyFont="1" applyFill="1" applyBorder="1" applyAlignment="1">
      <alignment horizontal="center" vertical="center" wrapText="1"/>
    </xf>
    <xf numFmtId="0" fontId="48" fillId="8" borderId="33" xfId="0" applyFont="1" applyFill="1" applyBorder="1" applyAlignment="1">
      <alignment horizontal="center" vertical="center" wrapText="1"/>
    </xf>
    <xf numFmtId="0" fontId="48" fillId="8" borderId="34" xfId="0" applyFont="1" applyFill="1" applyBorder="1" applyAlignment="1">
      <alignment horizontal="center" vertical="center" wrapText="1"/>
    </xf>
    <xf numFmtId="0" fontId="48" fillId="8" borderId="35" xfId="0" applyFont="1" applyFill="1" applyBorder="1" applyAlignment="1">
      <alignment horizontal="center" vertical="center" wrapText="1"/>
    </xf>
    <xf numFmtId="0" fontId="49" fillId="0" borderId="24" xfId="0" applyFont="1" applyBorder="1" applyAlignment="1">
      <alignment horizontal="center" vertical="center" wrapText="1"/>
    </xf>
    <xf numFmtId="0" fontId="49" fillId="9" borderId="6" xfId="0" applyFont="1" applyFill="1" applyBorder="1" applyAlignment="1">
      <alignment horizontal="center" vertical="center" wrapText="1"/>
    </xf>
    <xf numFmtId="0" fontId="49" fillId="0" borderId="36" xfId="0" applyFont="1" applyBorder="1" applyAlignment="1">
      <alignment horizontal="left" vertical="center" wrapText="1"/>
    </xf>
    <xf numFmtId="0" fontId="49" fillId="0" borderId="36" xfId="0" applyFont="1" applyBorder="1" applyAlignment="1">
      <alignment horizontal="left" vertical="top" wrapText="1"/>
    </xf>
    <xf numFmtId="0" fontId="53" fillId="0" borderId="36" xfId="0" applyFont="1" applyBorder="1" applyAlignment="1">
      <alignment horizontal="left" vertical="center" wrapText="1"/>
    </xf>
    <xf numFmtId="0" fontId="53" fillId="0" borderId="36" xfId="0" applyFont="1" applyBorder="1" applyAlignment="1">
      <alignment horizontal="left" vertical="top" wrapText="1"/>
    </xf>
    <xf numFmtId="0" fontId="53" fillId="0" borderId="11" xfId="0" quotePrefix="1" applyFont="1" applyBorder="1" applyAlignment="1">
      <alignment horizontal="left" vertical="top" wrapText="1"/>
    </xf>
    <xf numFmtId="0" fontId="53" fillId="0" borderId="24" xfId="0" applyFont="1" applyBorder="1" applyAlignment="1">
      <alignment horizontal="center" vertical="center" wrapText="1"/>
    </xf>
    <xf numFmtId="0" fontId="49" fillId="0" borderId="11" xfId="0" quotePrefix="1" applyFont="1" applyFill="1" applyBorder="1" applyAlignment="1">
      <alignment horizontal="left" vertical="center" wrapText="1"/>
    </xf>
    <xf numFmtId="14" fontId="23" fillId="7" borderId="0" xfId="226" applyNumberFormat="1" applyFont="1" applyFill="1" applyAlignment="1">
      <alignment horizontal="center" vertical="center"/>
    </xf>
    <xf numFmtId="0" fontId="23" fillId="7" borderId="0" xfId="226" applyFont="1" applyFill="1" applyAlignment="1">
      <alignment horizontal="center" vertical="center"/>
    </xf>
    <xf numFmtId="0" fontId="23" fillId="0" borderId="0" xfId="226" applyFont="1" applyAlignment="1">
      <alignment horizontal="center" vertical="center"/>
    </xf>
    <xf numFmtId="205" fontId="41" fillId="8" borderId="17" xfId="226" applyNumberFormat="1" applyFont="1" applyFill="1" applyBorder="1" applyAlignment="1">
      <alignment horizontal="center" vertical="center" wrapText="1"/>
    </xf>
    <xf numFmtId="205" fontId="41" fillId="8" borderId="18" xfId="226" applyNumberFormat="1" applyFont="1" applyFill="1" applyBorder="1" applyAlignment="1">
      <alignment horizontal="center" vertical="center" wrapText="1"/>
    </xf>
    <xf numFmtId="0" fontId="41" fillId="8" borderId="19" xfId="226" applyFont="1" applyFill="1" applyBorder="1" applyAlignment="1">
      <alignment horizontal="center" vertical="center"/>
    </xf>
    <xf numFmtId="0" fontId="41" fillId="8" borderId="18" xfId="226" applyFont="1" applyFill="1" applyBorder="1" applyAlignment="1">
      <alignment horizontal="center" vertical="center"/>
    </xf>
    <xf numFmtId="0" fontId="41" fillId="8" borderId="20" xfId="226" applyFont="1" applyFill="1" applyBorder="1" applyAlignment="1">
      <alignment horizontal="center" vertical="center"/>
    </xf>
    <xf numFmtId="0" fontId="41" fillId="8" borderId="21" xfId="226" applyFont="1" applyFill="1" applyBorder="1" applyAlignment="1">
      <alignment horizontal="center" vertical="center"/>
    </xf>
    <xf numFmtId="0" fontId="41" fillId="8" borderId="22" xfId="226" applyFont="1" applyFill="1" applyBorder="1" applyAlignment="1">
      <alignment horizontal="center" vertical="center"/>
    </xf>
    <xf numFmtId="0" fontId="41" fillId="8" borderId="23" xfId="226" applyFont="1" applyFill="1" applyBorder="1" applyAlignment="1">
      <alignment horizontal="center" vertical="center"/>
    </xf>
    <xf numFmtId="205" fontId="26" fillId="0" borderId="24" xfId="226" applyNumberFormat="1" applyFont="1" applyBorder="1" applyAlignment="1">
      <alignment horizontal="center" vertical="center" wrapText="1"/>
    </xf>
    <xf numFmtId="205" fontId="26" fillId="0" borderId="6" xfId="226" applyNumberFormat="1" applyFont="1" applyBorder="1" applyAlignment="1">
      <alignment horizontal="center" vertical="center" wrapText="1"/>
    </xf>
    <xf numFmtId="0" fontId="26" fillId="0" borderId="5" xfId="226" applyFont="1" applyBorder="1" applyAlignment="1">
      <alignment horizontal="center" vertical="center"/>
    </xf>
    <xf numFmtId="0" fontId="26" fillId="0" borderId="6" xfId="226" applyFont="1" applyBorder="1" applyAlignment="1">
      <alignment horizontal="center" vertical="center"/>
    </xf>
    <xf numFmtId="0" fontId="26" fillId="0" borderId="5" xfId="226" applyFont="1" applyBorder="1" applyAlignment="1">
      <alignment vertical="center" wrapText="1"/>
    </xf>
    <xf numFmtId="0" fontId="26" fillId="0" borderId="7" xfId="226" applyFont="1" applyBorder="1" applyAlignment="1">
      <alignment vertical="center" wrapText="1"/>
    </xf>
    <xf numFmtId="0" fontId="26" fillId="0" borderId="25" xfId="226" applyFont="1" applyBorder="1" applyAlignment="1">
      <alignment vertical="center" wrapText="1"/>
    </xf>
    <xf numFmtId="14" fontId="26" fillId="0" borderId="26" xfId="226" applyNumberFormat="1" applyFont="1" applyBorder="1" applyAlignment="1">
      <alignment horizontal="center" vertical="center"/>
    </xf>
    <xf numFmtId="14" fontId="26" fillId="0" borderId="27" xfId="226" applyNumberFormat="1" applyFont="1" applyBorder="1" applyAlignment="1">
      <alignment horizontal="center" vertical="center"/>
    </xf>
    <xf numFmtId="0" fontId="24" fillId="0" borderId="5" xfId="226" applyFont="1" applyBorder="1" applyAlignment="1">
      <alignment vertical="center" wrapText="1"/>
    </xf>
    <xf numFmtId="0" fontId="24" fillId="0" borderId="7" xfId="226" applyFont="1" applyBorder="1" applyAlignment="1">
      <alignment vertical="center" wrapText="1"/>
    </xf>
    <xf numFmtId="0" fontId="24" fillId="0" borderId="25" xfId="226" applyFont="1" applyBorder="1" applyAlignment="1">
      <alignment vertical="center" wrapText="1"/>
    </xf>
    <xf numFmtId="0" fontId="24" fillId="0" borderId="5" xfId="226" applyFont="1" applyBorder="1" applyAlignment="1">
      <alignment horizontal="center" vertical="center"/>
    </xf>
    <xf numFmtId="0" fontId="24" fillId="0" borderId="6" xfId="226" applyFont="1" applyBorder="1" applyAlignment="1">
      <alignment horizontal="center" vertical="center"/>
    </xf>
    <xf numFmtId="14" fontId="24" fillId="0" borderId="26" xfId="226" applyNumberFormat="1" applyFont="1" applyBorder="1" applyAlignment="1">
      <alignment horizontal="center" vertical="center"/>
    </xf>
    <xf numFmtId="14" fontId="24" fillId="0" borderId="27" xfId="226" applyNumberFormat="1" applyFont="1" applyBorder="1" applyAlignment="1">
      <alignment horizontal="center" vertical="center"/>
    </xf>
    <xf numFmtId="0" fontId="25" fillId="0" borderId="12" xfId="226" applyFont="1" applyBorder="1" applyAlignment="1">
      <alignment horizontal="center" vertical="center" wrapText="1"/>
    </xf>
    <xf numFmtId="0" fontId="25" fillId="0" borderId="28" xfId="226" applyFont="1" applyBorder="1" applyAlignment="1">
      <alignment horizontal="center" vertical="center" wrapText="1"/>
    </xf>
    <xf numFmtId="0" fontId="41" fillId="0" borderId="29" xfId="226" applyFont="1" applyBorder="1" applyAlignment="1">
      <alignment horizontal="center" vertical="center"/>
    </xf>
    <xf numFmtId="0" fontId="41" fillId="0" borderId="28" xfId="226" applyFont="1" applyBorder="1" applyAlignment="1">
      <alignment horizontal="center" vertical="center"/>
    </xf>
    <xf numFmtId="0" fontId="41" fillId="0" borderId="29" xfId="226" applyFont="1" applyBorder="1" applyAlignment="1">
      <alignment vertical="center" wrapText="1"/>
    </xf>
    <xf numFmtId="0" fontId="41" fillId="0" borderId="13" xfId="226" applyFont="1" applyBorder="1" applyAlignment="1">
      <alignment vertical="center" wrapText="1"/>
    </xf>
    <xf numFmtId="0" fontId="41" fillId="0" borderId="14" xfId="226" applyFont="1" applyBorder="1" applyAlignment="1">
      <alignment vertical="center" wrapText="1"/>
    </xf>
    <xf numFmtId="14" fontId="25" fillId="0" borderId="15" xfId="226" applyNumberFormat="1" applyFont="1" applyBorder="1" applyAlignment="1">
      <alignment horizontal="center" vertical="center"/>
    </xf>
    <xf numFmtId="14" fontId="25" fillId="0" borderId="16" xfId="226" applyNumberFormat="1" applyFont="1" applyBorder="1" applyAlignment="1">
      <alignment horizontal="center" vertical="center"/>
    </xf>
    <xf numFmtId="0" fontId="50" fillId="8" borderId="5" xfId="0" applyFont="1" applyFill="1" applyBorder="1" applyAlignment="1">
      <alignment horizontal="center" vertical="center" wrapText="1"/>
    </xf>
    <xf numFmtId="0" fontId="50" fillId="8" borderId="7" xfId="0" applyFont="1" applyFill="1" applyBorder="1" applyAlignment="1">
      <alignment horizontal="center" vertical="center" wrapText="1"/>
    </xf>
    <xf numFmtId="0" fontId="50" fillId="8" borderId="6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 vertical="center"/>
    </xf>
    <xf numFmtId="0" fontId="50" fillId="0" borderId="4" xfId="0" applyFont="1" applyFill="1" applyBorder="1" applyAlignment="1">
      <alignment horizontal="left" wrapText="1"/>
    </xf>
    <xf numFmtId="0" fontId="50" fillId="8" borderId="11" xfId="0" applyFont="1" applyFill="1" applyBorder="1" applyAlignment="1">
      <alignment horizontal="center" vertical="center" wrapText="1"/>
    </xf>
  </cellXfs>
  <cellStyles count="229">
    <cellStyle name="_x000a_386grabber=M" xfId="32" xr:uid="{00000000-0005-0000-0000-000000000000}"/>
    <cellStyle name="_x000a_386grabber=M 2" xfId="149" xr:uid="{00000000-0005-0000-0000-000001000000}"/>
    <cellStyle name="_0223_해운대구청(LH6000)" xfId="33" xr:uid="{00000000-0005-0000-0000-000002000000}"/>
    <cellStyle name="_Book1" xfId="34" xr:uid="{00000000-0005-0000-0000-000003000000}"/>
    <cellStyle name="_dimensions(1)" xfId="1" xr:uid="{00000000-0005-0000-0000-000004000000}"/>
    <cellStyle name="_WebCash_KDB_2thDevelop_20020618" xfId="35" xr:uid="{00000000-0005-0000-0000-000005000000}"/>
    <cellStyle name="_견적(RP5405)" xfId="36" xr:uid="{00000000-0005-0000-0000-000006000000}"/>
    <cellStyle name="_러시앤캐시 개발비용_20070320" xfId="37" xr:uid="{00000000-0005-0000-0000-000007000000}"/>
    <cellStyle name="_러시앤캐시(20070321)_1안" xfId="38" xr:uid="{00000000-0005-0000-0000-000008000000}"/>
    <cellStyle name="_부산은행 HP견적" xfId="39" xr:uid="{00000000-0005-0000-0000-000009000000}"/>
    <cellStyle name="_엑셀문서표준_양식(세로)" xfId="2" xr:uid="{00000000-0005-0000-0000-00000A000000}"/>
    <cellStyle name="_요구사항추적매트릭스(CS)_보기" xfId="3" xr:uid="{00000000-0005-0000-0000-00000B000000}"/>
    <cellStyle name="_요구사항추적표(웹)_양식" xfId="4" xr:uid="{00000000-0005-0000-0000-00000C000000}"/>
    <cellStyle name="_통합테스트빌드목록" xfId="5" xr:uid="{00000000-0005-0000-0000-00000D000000}"/>
    <cellStyle name="_하드웨어세부견적서_모음" xfId="40" xr:uid="{00000000-0005-0000-0000-00000E000000}"/>
    <cellStyle name="_회의록관리대장_#.업무영역명" xfId="6" xr:uid="{00000000-0005-0000-0000-00000F000000}"/>
    <cellStyle name="=C:\WINDOWS\SYSTEM32\COMMAND.COM" xfId="41" xr:uid="{00000000-0005-0000-0000-000010000000}"/>
    <cellStyle name="AeE­ [0]_PERSONAL" xfId="7" xr:uid="{00000000-0005-0000-0000-000011000000}"/>
    <cellStyle name="AeE­_PERSONAL" xfId="8" xr:uid="{00000000-0005-0000-0000-000012000000}"/>
    <cellStyle name="ALIGNMENT" xfId="9" xr:uid="{00000000-0005-0000-0000-000013000000}"/>
    <cellStyle name="C￥AØ_PERSONAL" xfId="10" xr:uid="{00000000-0005-0000-0000-000014000000}"/>
    <cellStyle name="Calc Currency (0)" xfId="42" xr:uid="{00000000-0005-0000-0000-000015000000}"/>
    <cellStyle name="Calc Currency (0) 2" xfId="150" xr:uid="{00000000-0005-0000-0000-000016000000}"/>
    <cellStyle name="Calc Currency (2)" xfId="43" xr:uid="{00000000-0005-0000-0000-000017000000}"/>
    <cellStyle name="Calc Currency (2) 2" xfId="151" xr:uid="{00000000-0005-0000-0000-000018000000}"/>
    <cellStyle name="Calc Percent (0)" xfId="44" xr:uid="{00000000-0005-0000-0000-000019000000}"/>
    <cellStyle name="Calc Percent (0) 2" xfId="152" xr:uid="{00000000-0005-0000-0000-00001A000000}"/>
    <cellStyle name="Calc Percent (1)" xfId="45" xr:uid="{00000000-0005-0000-0000-00001B000000}"/>
    <cellStyle name="Calc Percent (1) 2" xfId="153" xr:uid="{00000000-0005-0000-0000-00001C000000}"/>
    <cellStyle name="Calc Percent (2)" xfId="46" xr:uid="{00000000-0005-0000-0000-00001D000000}"/>
    <cellStyle name="Calc Percent (2) 2" xfId="154" xr:uid="{00000000-0005-0000-0000-00001E000000}"/>
    <cellStyle name="Calc Units (0)" xfId="47" xr:uid="{00000000-0005-0000-0000-00001F000000}"/>
    <cellStyle name="Calc Units (0) 2" xfId="155" xr:uid="{00000000-0005-0000-0000-000020000000}"/>
    <cellStyle name="Calc Units (1)" xfId="48" xr:uid="{00000000-0005-0000-0000-000021000000}"/>
    <cellStyle name="Calc Units (1) 2" xfId="156" xr:uid="{00000000-0005-0000-0000-000022000000}"/>
    <cellStyle name="Calc Units (2)" xfId="49" xr:uid="{00000000-0005-0000-0000-000023000000}"/>
    <cellStyle name="Calc Units (2) 2" xfId="157" xr:uid="{00000000-0005-0000-0000-000024000000}"/>
    <cellStyle name="category" xfId="11" xr:uid="{00000000-0005-0000-0000-000025000000}"/>
    <cellStyle name="Comma  - Style1" xfId="50" xr:uid="{00000000-0005-0000-0000-000026000000}"/>
    <cellStyle name="Comma  - Style2" xfId="51" xr:uid="{00000000-0005-0000-0000-000027000000}"/>
    <cellStyle name="Comma  - Style3" xfId="52" xr:uid="{00000000-0005-0000-0000-000028000000}"/>
    <cellStyle name="Comma  - Style4" xfId="53" xr:uid="{00000000-0005-0000-0000-000029000000}"/>
    <cellStyle name="Comma  - Style5" xfId="54" xr:uid="{00000000-0005-0000-0000-00002A000000}"/>
    <cellStyle name="Comma  - Style6" xfId="55" xr:uid="{00000000-0005-0000-0000-00002B000000}"/>
    <cellStyle name="Comma  - Style7" xfId="56" xr:uid="{00000000-0005-0000-0000-00002C000000}"/>
    <cellStyle name="Comma  - Style8" xfId="57" xr:uid="{00000000-0005-0000-0000-00002D000000}"/>
    <cellStyle name="Comma [0]_ SG&amp;A Bridge " xfId="58" xr:uid="{00000000-0005-0000-0000-00002E000000}"/>
    <cellStyle name="Comma [00]" xfId="59" xr:uid="{00000000-0005-0000-0000-00002F000000}"/>
    <cellStyle name="Comma [00] 2" xfId="158" xr:uid="{00000000-0005-0000-0000-000030000000}"/>
    <cellStyle name="comma zerodec" xfId="12" xr:uid="{00000000-0005-0000-0000-000031000000}"/>
    <cellStyle name="comma zerodec 2" xfId="13" xr:uid="{00000000-0005-0000-0000-000032000000}"/>
    <cellStyle name="comma zerodec 2 2" xfId="142" xr:uid="{00000000-0005-0000-0000-000033000000}"/>
    <cellStyle name="comma zerodec 3" xfId="60" xr:uid="{00000000-0005-0000-0000-000034000000}"/>
    <cellStyle name="comma zerodec 3 2" xfId="159" xr:uid="{00000000-0005-0000-0000-000035000000}"/>
    <cellStyle name="Comma_ SG&amp;A Bridge " xfId="61" xr:uid="{00000000-0005-0000-0000-000036000000}"/>
    <cellStyle name="Currency [0]_ SG&amp;A Bridge " xfId="62" xr:uid="{00000000-0005-0000-0000-000037000000}"/>
    <cellStyle name="Currency [00]" xfId="63" xr:uid="{00000000-0005-0000-0000-000038000000}"/>
    <cellStyle name="Currency [00] 2" xfId="160" xr:uid="{00000000-0005-0000-0000-000039000000}"/>
    <cellStyle name="Currency_ SG&amp;A Bridge " xfId="64" xr:uid="{00000000-0005-0000-0000-00003A000000}"/>
    <cellStyle name="Currency1" xfId="14" xr:uid="{00000000-0005-0000-0000-00003B000000}"/>
    <cellStyle name="Currency1 2" xfId="15" xr:uid="{00000000-0005-0000-0000-00003C000000}"/>
    <cellStyle name="Currency1 2 2" xfId="143" xr:uid="{00000000-0005-0000-0000-00003D000000}"/>
    <cellStyle name="Currency1 3" xfId="65" xr:uid="{00000000-0005-0000-0000-00003E000000}"/>
    <cellStyle name="Currency1 3 2" xfId="161" xr:uid="{00000000-0005-0000-0000-00003F000000}"/>
    <cellStyle name="Date Short" xfId="66" xr:uid="{00000000-0005-0000-0000-000040000000}"/>
    <cellStyle name="DELTA" xfId="67" xr:uid="{00000000-0005-0000-0000-000041000000}"/>
    <cellStyle name="Dollar (zero dec)" xfId="16" xr:uid="{00000000-0005-0000-0000-000042000000}"/>
    <cellStyle name="Dollar (zero dec) 2" xfId="17" xr:uid="{00000000-0005-0000-0000-000043000000}"/>
    <cellStyle name="Dollar (zero dec) 2 2" xfId="144" xr:uid="{00000000-0005-0000-0000-000044000000}"/>
    <cellStyle name="Dollar (zero dec) 3" xfId="68" xr:uid="{00000000-0005-0000-0000-000045000000}"/>
    <cellStyle name="Dollar (zero dec) 3 2" xfId="162" xr:uid="{00000000-0005-0000-0000-000046000000}"/>
    <cellStyle name="Enter Currency (0)" xfId="69" xr:uid="{00000000-0005-0000-0000-000047000000}"/>
    <cellStyle name="Enter Currency (0) 2" xfId="163" xr:uid="{00000000-0005-0000-0000-000048000000}"/>
    <cellStyle name="Enter Currency (2)" xfId="70" xr:uid="{00000000-0005-0000-0000-000049000000}"/>
    <cellStyle name="Enter Currency (2) 2" xfId="164" xr:uid="{00000000-0005-0000-0000-00004A000000}"/>
    <cellStyle name="Enter Units (0)" xfId="71" xr:uid="{00000000-0005-0000-0000-00004B000000}"/>
    <cellStyle name="Enter Units (0) 2" xfId="165" xr:uid="{00000000-0005-0000-0000-00004C000000}"/>
    <cellStyle name="Enter Units (1)" xfId="72" xr:uid="{00000000-0005-0000-0000-00004D000000}"/>
    <cellStyle name="Enter Units (1) 2" xfId="166" xr:uid="{00000000-0005-0000-0000-00004E000000}"/>
    <cellStyle name="Enter Units (2)" xfId="73" xr:uid="{00000000-0005-0000-0000-00004F000000}"/>
    <cellStyle name="Enter Units (2) 2" xfId="167" xr:uid="{00000000-0005-0000-0000-000050000000}"/>
    <cellStyle name="Grey" xfId="18" xr:uid="{00000000-0005-0000-0000-000051000000}"/>
    <cellStyle name="Grey 2" xfId="74" xr:uid="{00000000-0005-0000-0000-000052000000}"/>
    <cellStyle name="HEADER" xfId="19" xr:uid="{00000000-0005-0000-0000-000053000000}"/>
    <cellStyle name="Header 1" xfId="75" xr:uid="{00000000-0005-0000-0000-000054000000}"/>
    <cellStyle name="Header 2" xfId="76" xr:uid="{00000000-0005-0000-0000-000055000000}"/>
    <cellStyle name="Header Center" xfId="77" xr:uid="{00000000-0005-0000-0000-000056000000}"/>
    <cellStyle name="Header1" xfId="20" xr:uid="{00000000-0005-0000-0000-000057000000}"/>
    <cellStyle name="Header2" xfId="21" xr:uid="{00000000-0005-0000-0000-000058000000}"/>
    <cellStyle name="Header2 2" xfId="78" xr:uid="{00000000-0005-0000-0000-000059000000}"/>
    <cellStyle name="HP Logo" xfId="79" xr:uid="{00000000-0005-0000-0000-00005A000000}"/>
    <cellStyle name="Hyperlink" xfId="80" xr:uid="{00000000-0005-0000-0000-00005B000000}"/>
    <cellStyle name="Input [yellow]" xfId="22" xr:uid="{00000000-0005-0000-0000-00005C000000}"/>
    <cellStyle name="Input [yellow] 2" xfId="81" xr:uid="{00000000-0005-0000-0000-00005D000000}"/>
    <cellStyle name="Input [yellow] 2 2" xfId="168" xr:uid="{00000000-0005-0000-0000-00005E000000}"/>
    <cellStyle name="Input [yellow] 3" xfId="137" xr:uid="{00000000-0005-0000-0000-00005F000000}"/>
    <cellStyle name="Input [yellow] 4" xfId="145" xr:uid="{00000000-0005-0000-0000-000060000000}"/>
    <cellStyle name="Komma [0]_BINV" xfId="82" xr:uid="{00000000-0005-0000-0000-000061000000}"/>
    <cellStyle name="Komma_BINV" xfId="83" xr:uid="{00000000-0005-0000-0000-000062000000}"/>
    <cellStyle name="Link Currency (0)" xfId="84" xr:uid="{00000000-0005-0000-0000-000063000000}"/>
    <cellStyle name="Link Currency (0) 2" xfId="169" xr:uid="{00000000-0005-0000-0000-000064000000}"/>
    <cellStyle name="Link Currency (2)" xfId="85" xr:uid="{00000000-0005-0000-0000-000065000000}"/>
    <cellStyle name="Link Currency (2) 2" xfId="170" xr:uid="{00000000-0005-0000-0000-000066000000}"/>
    <cellStyle name="Link Units (0)" xfId="86" xr:uid="{00000000-0005-0000-0000-000067000000}"/>
    <cellStyle name="Link Units (0) 2" xfId="171" xr:uid="{00000000-0005-0000-0000-000068000000}"/>
    <cellStyle name="Link Units (1)" xfId="87" xr:uid="{00000000-0005-0000-0000-000069000000}"/>
    <cellStyle name="Link Units (1) 2" xfId="172" xr:uid="{00000000-0005-0000-0000-00006A000000}"/>
    <cellStyle name="Link Units (2)" xfId="88" xr:uid="{00000000-0005-0000-0000-00006B000000}"/>
    <cellStyle name="Link Units (2) 2" xfId="173" xr:uid="{00000000-0005-0000-0000-00006C000000}"/>
    <cellStyle name="Model" xfId="23" xr:uid="{00000000-0005-0000-0000-00006D000000}"/>
    <cellStyle name="Normal - Style1" xfId="24" xr:uid="{00000000-0005-0000-0000-00006E000000}"/>
    <cellStyle name="Normal - Style1 2" xfId="25" xr:uid="{00000000-0005-0000-0000-00006F000000}"/>
    <cellStyle name="Normal - Style1 2 2" xfId="146" xr:uid="{00000000-0005-0000-0000-000070000000}"/>
    <cellStyle name="Normal - Style1 3" xfId="89" xr:uid="{00000000-0005-0000-0000-000071000000}"/>
    <cellStyle name="Normal - Style1 3 2" xfId="174" xr:uid="{00000000-0005-0000-0000-000072000000}"/>
    <cellStyle name="Normal_ SG&amp;A Bridge " xfId="90" xr:uid="{00000000-0005-0000-0000-000073000000}"/>
    <cellStyle name="Percent [0]" xfId="91" xr:uid="{00000000-0005-0000-0000-000074000000}"/>
    <cellStyle name="Percent [0] 2" xfId="175" xr:uid="{00000000-0005-0000-0000-000075000000}"/>
    <cellStyle name="Percent [00]" xfId="92" xr:uid="{00000000-0005-0000-0000-000076000000}"/>
    <cellStyle name="Percent [00] 2" xfId="176" xr:uid="{00000000-0005-0000-0000-000077000000}"/>
    <cellStyle name="Percent [2]" xfId="26" xr:uid="{00000000-0005-0000-0000-000078000000}"/>
    <cellStyle name="Percent_#6 Temps &amp; Contractors" xfId="93" xr:uid="{00000000-0005-0000-0000-000079000000}"/>
    <cellStyle name="PrePop Currency (0)" xfId="94" xr:uid="{00000000-0005-0000-0000-00007A000000}"/>
    <cellStyle name="PrePop Currency (0) 2" xfId="177" xr:uid="{00000000-0005-0000-0000-00007B000000}"/>
    <cellStyle name="PrePop Currency (2)" xfId="95" xr:uid="{00000000-0005-0000-0000-00007C000000}"/>
    <cellStyle name="PrePop Currency (2) 2" xfId="178" xr:uid="{00000000-0005-0000-0000-00007D000000}"/>
    <cellStyle name="PrePop Units (0)" xfId="96" xr:uid="{00000000-0005-0000-0000-00007E000000}"/>
    <cellStyle name="PrePop Units (0) 2" xfId="179" xr:uid="{00000000-0005-0000-0000-00007F000000}"/>
    <cellStyle name="PrePop Units (1)" xfId="97" xr:uid="{00000000-0005-0000-0000-000080000000}"/>
    <cellStyle name="PrePop Units (1) 2" xfId="180" xr:uid="{00000000-0005-0000-0000-000081000000}"/>
    <cellStyle name="PrePop Units (2)" xfId="98" xr:uid="{00000000-0005-0000-0000-000082000000}"/>
    <cellStyle name="PrePop Units (2) 2" xfId="181" xr:uid="{00000000-0005-0000-0000-000083000000}"/>
    <cellStyle name="Procent_BINV" xfId="99" xr:uid="{00000000-0005-0000-0000-000084000000}"/>
    <cellStyle name="PropertyBorder" xfId="100" xr:uid="{00000000-0005-0000-0000-000085000000}"/>
    <cellStyle name="PropertyBorder 2" xfId="182" xr:uid="{00000000-0005-0000-0000-000086000000}"/>
    <cellStyle name="Standaard_BINV" xfId="101" xr:uid="{00000000-0005-0000-0000-000087000000}"/>
    <cellStyle name="subhead" xfId="27" xr:uid="{00000000-0005-0000-0000-000088000000}"/>
    <cellStyle name="Text Indent A" xfId="102" xr:uid="{00000000-0005-0000-0000-000089000000}"/>
    <cellStyle name="Text Indent B" xfId="103" xr:uid="{00000000-0005-0000-0000-00008A000000}"/>
    <cellStyle name="Text Indent B 2" xfId="183" xr:uid="{00000000-0005-0000-0000-00008B000000}"/>
    <cellStyle name="Text Indent C" xfId="104" xr:uid="{00000000-0005-0000-0000-00008C000000}"/>
    <cellStyle name="Text Indent C 2" xfId="184" xr:uid="{00000000-0005-0000-0000-00008D000000}"/>
    <cellStyle name="Valuta [0]_BINV" xfId="105" xr:uid="{00000000-0005-0000-0000-00008E000000}"/>
    <cellStyle name="Valuta_BINV" xfId="106" xr:uid="{00000000-0005-0000-0000-00008F000000}"/>
    <cellStyle name="뒤에 오는 하이퍼링크_PERSONAL" xfId="107" xr:uid="{00000000-0005-0000-0000-000090000000}"/>
    <cellStyle name="똿뗦먛귟 [0.00]_PRODUCT DETAIL Q1" xfId="108" xr:uid="{00000000-0005-0000-0000-000091000000}"/>
    <cellStyle name="똿뗦먛귟_PRODUCT DETAIL Q1" xfId="109" xr:uid="{00000000-0005-0000-0000-000092000000}"/>
    <cellStyle name="믅됞 [0.00]_PRODUCT DETAIL Q1" xfId="110" xr:uid="{00000000-0005-0000-0000-000093000000}"/>
    <cellStyle name="믅됞_PRODUCT DETAIL Q1" xfId="111" xr:uid="{00000000-0005-0000-0000-000094000000}"/>
    <cellStyle name="백분율 2" xfId="112" xr:uid="{00000000-0005-0000-0000-000095000000}"/>
    <cellStyle name="백분율 2 2" xfId="185" xr:uid="{00000000-0005-0000-0000-000096000000}"/>
    <cellStyle name="백분율 2 2 2" xfId="214" xr:uid="{00000000-0005-0000-0000-000096000000}"/>
    <cellStyle name="백분율 2 3" xfId="201" xr:uid="{00000000-0005-0000-0000-000095000000}"/>
    <cellStyle name="백분율 3" xfId="113" xr:uid="{00000000-0005-0000-0000-000097000000}"/>
    <cellStyle name="백분율 3 2" xfId="186" xr:uid="{00000000-0005-0000-0000-000098000000}"/>
    <cellStyle name="뷭?_BOOKSHIP" xfId="114" xr:uid="{00000000-0005-0000-0000-000099000000}"/>
    <cellStyle name="쉼표 [0] 2" xfId="115" xr:uid="{00000000-0005-0000-0000-00009A000000}"/>
    <cellStyle name="쉼표 [0] 2 2" xfId="187" xr:uid="{00000000-0005-0000-0000-00009B000000}"/>
    <cellStyle name="쉼표 [0] 2 2 2" xfId="215" xr:uid="{00000000-0005-0000-0000-00009B000000}"/>
    <cellStyle name="쉼표 [0] 2 3" xfId="202" xr:uid="{00000000-0005-0000-0000-00009A000000}"/>
    <cellStyle name="쉼표 [0] 3" xfId="116" xr:uid="{00000000-0005-0000-0000-00009C000000}"/>
    <cellStyle name="쉼표 [0] 3 2" xfId="188" xr:uid="{00000000-0005-0000-0000-00009D000000}"/>
    <cellStyle name="쉼표 [0] 3 2 2" xfId="216" xr:uid="{00000000-0005-0000-0000-00009D000000}"/>
    <cellStyle name="쉼표 [0] 3 3" xfId="203" xr:uid="{00000000-0005-0000-0000-00009C000000}"/>
    <cellStyle name="스타일 1" xfId="28" xr:uid="{00000000-0005-0000-0000-00009E000000}"/>
    <cellStyle name="스타일 1 2" xfId="117" xr:uid="{00000000-0005-0000-0000-00009F000000}"/>
    <cellStyle name="안건회계법인" xfId="118" xr:uid="{00000000-0005-0000-0000-0000A0000000}"/>
    <cellStyle name="원" xfId="119" xr:uid="{00000000-0005-0000-0000-0000A1000000}"/>
    <cellStyle name="지정되지 않음" xfId="120" xr:uid="{00000000-0005-0000-0000-0000A2000000}"/>
    <cellStyle name="콤마 [0]_(980121-$33,662)" xfId="121" xr:uid="{00000000-0005-0000-0000-0000A3000000}"/>
    <cellStyle name="콤마_(980121-$33,662)" xfId="122" xr:uid="{00000000-0005-0000-0000-0000A4000000}"/>
    <cellStyle name="通貨 [0.00]_PERSONAL" xfId="123" xr:uid="{00000000-0005-0000-0000-0000A5000000}"/>
    <cellStyle name="통화 [0] 2" xfId="124" xr:uid="{00000000-0005-0000-0000-0000A6000000}"/>
    <cellStyle name="통화 [0] 2 2" xfId="189" xr:uid="{00000000-0005-0000-0000-0000A7000000}"/>
    <cellStyle name="통화 [0] 2 2 2" xfId="217" xr:uid="{00000000-0005-0000-0000-0000A7000000}"/>
    <cellStyle name="통화 [0] 2 3" xfId="204" xr:uid="{00000000-0005-0000-0000-0000A6000000}"/>
    <cellStyle name="통화 [0] 3" xfId="125" xr:uid="{00000000-0005-0000-0000-0000A8000000}"/>
    <cellStyle name="통화 [0] 3 2" xfId="190" xr:uid="{00000000-0005-0000-0000-0000A9000000}"/>
    <cellStyle name="통화 [0] 3 2 2" xfId="218" xr:uid="{00000000-0005-0000-0000-0000A9000000}"/>
    <cellStyle name="통화 [0] 3 3" xfId="205" xr:uid="{00000000-0005-0000-0000-0000A8000000}"/>
    <cellStyle name="通貨_PERSONAL" xfId="126" xr:uid="{00000000-0005-0000-0000-0000AA000000}"/>
    <cellStyle name="표준" xfId="0" builtinId="0"/>
    <cellStyle name="표준 2" xfId="29" xr:uid="{00000000-0005-0000-0000-0000AC000000}"/>
    <cellStyle name="표준 2 2" xfId="30" xr:uid="{00000000-0005-0000-0000-0000AD000000}"/>
    <cellStyle name="표준 2 2 2" xfId="128" xr:uid="{00000000-0005-0000-0000-0000AE000000}"/>
    <cellStyle name="표준 2 2 2 2" xfId="192" xr:uid="{00000000-0005-0000-0000-0000AF000000}"/>
    <cellStyle name="표준 2 3" xfId="129" xr:uid="{00000000-0005-0000-0000-0000B0000000}"/>
    <cellStyle name="표준 2 4" xfId="127" xr:uid="{00000000-0005-0000-0000-0000B1000000}"/>
    <cellStyle name="표준 2 4 2" xfId="191" xr:uid="{00000000-0005-0000-0000-0000B2000000}"/>
    <cellStyle name="표준 2 4 2 2" xfId="219" xr:uid="{00000000-0005-0000-0000-0000B2000000}"/>
    <cellStyle name="표준 2 4 3" xfId="206" xr:uid="{00000000-0005-0000-0000-0000B1000000}"/>
    <cellStyle name="표준 2 5" xfId="147" xr:uid="{00000000-0005-0000-0000-0000B3000000}"/>
    <cellStyle name="표준 3" xfId="130" xr:uid="{00000000-0005-0000-0000-0000B4000000}"/>
    <cellStyle name="표준 3 2" xfId="131" xr:uid="{00000000-0005-0000-0000-0000B5000000}"/>
    <cellStyle name="표준 3 2 2" xfId="194" xr:uid="{00000000-0005-0000-0000-0000B6000000}"/>
    <cellStyle name="표준 3 3" xfId="193" xr:uid="{00000000-0005-0000-0000-0000B7000000}"/>
    <cellStyle name="표준 3 3 2" xfId="220" xr:uid="{00000000-0005-0000-0000-0000B7000000}"/>
    <cellStyle name="표준 3 4" xfId="207" xr:uid="{00000000-0005-0000-0000-0000B4000000}"/>
    <cellStyle name="표준 4" xfId="132" xr:uid="{00000000-0005-0000-0000-0000B8000000}"/>
    <cellStyle name="표준 4 2" xfId="195" xr:uid="{00000000-0005-0000-0000-0000B9000000}"/>
    <cellStyle name="표준 4 2 2" xfId="221" xr:uid="{00000000-0005-0000-0000-0000B9000000}"/>
    <cellStyle name="표준 4 3" xfId="208" xr:uid="{00000000-0005-0000-0000-0000B8000000}"/>
    <cellStyle name="표준 5" xfId="31" xr:uid="{00000000-0005-0000-0000-0000BA000000}"/>
    <cellStyle name="표준 5 2" xfId="148" xr:uid="{00000000-0005-0000-0000-0000BB000000}"/>
    <cellStyle name="표준 5 2 2" xfId="213" xr:uid="{00000000-0005-0000-0000-0000BB000000}"/>
    <cellStyle name="표준 5 3" xfId="200" xr:uid="{00000000-0005-0000-0000-0000BA000000}"/>
    <cellStyle name="표준 6" xfId="138" xr:uid="{00000000-0005-0000-0000-0000BC000000}"/>
    <cellStyle name="표준 6 2" xfId="196" xr:uid="{00000000-0005-0000-0000-0000BD000000}"/>
    <cellStyle name="표준 6 2 2" xfId="222" xr:uid="{00000000-0005-0000-0000-0000BD000000}"/>
    <cellStyle name="표준 6 3" xfId="209" xr:uid="{00000000-0005-0000-0000-0000BC000000}"/>
    <cellStyle name="표준 7" xfId="139" xr:uid="{00000000-0005-0000-0000-0000BE000000}"/>
    <cellStyle name="표준 7 2" xfId="141" xr:uid="{00000000-0005-0000-0000-0000BF000000}"/>
    <cellStyle name="표준 7 2 2" xfId="212" xr:uid="{00000000-0005-0000-0000-0000BF000000}"/>
    <cellStyle name="표준 7 3" xfId="140" xr:uid="{00000000-0005-0000-0000-0000C0000000}"/>
    <cellStyle name="표준 7 3 2" xfId="211" xr:uid="{00000000-0005-0000-0000-0000C0000000}"/>
    <cellStyle name="표준 7 4" xfId="197" xr:uid="{00000000-0005-0000-0000-0000C1000000}"/>
    <cellStyle name="표준 7 4 2" xfId="223" xr:uid="{00000000-0005-0000-0000-0000C1000000}"/>
    <cellStyle name="표준 7 5" xfId="198" xr:uid="{00000000-0005-0000-0000-0000C2000000}"/>
    <cellStyle name="표준 7 5 2" xfId="199" xr:uid="{00000000-0005-0000-0000-0000C3000000}"/>
    <cellStyle name="표준 7 5 2 2" xfId="225" xr:uid="{00000000-0005-0000-0000-0000C3000000}"/>
    <cellStyle name="표준 7 5 3" xfId="224" xr:uid="{00000000-0005-0000-0000-0000C2000000}"/>
    <cellStyle name="표준 7 5 4" xfId="226" xr:uid="{4C7C7068-0B66-4F4E-B670-A6E9EAA813A5}"/>
    <cellStyle name="표준 7 6" xfId="210" xr:uid="{00000000-0005-0000-0000-0000BE000000}"/>
    <cellStyle name="표준_01.요구사항정의서_고객관리" xfId="228" xr:uid="{50E77C5C-0F42-424C-99DA-A97CE06A8E43}"/>
    <cellStyle name="標準_PERSONAL" xfId="133" xr:uid="{00000000-0005-0000-0000-0000C4000000}"/>
    <cellStyle name="표준_요구사항정의서_마켓플레이스" xfId="227" xr:uid="{9F3CFC6D-B28F-4BEF-A0A1-1B47812FFDD5}"/>
    <cellStyle name="하이퍼링크 2" xfId="134" xr:uid="{00000000-0005-0000-0000-0000C5000000}"/>
    <cellStyle name="桁区切り [0.00]_PERSONAL" xfId="135" xr:uid="{00000000-0005-0000-0000-0000C6000000}"/>
    <cellStyle name="桁区切り_PERSONAL" xfId="136" xr:uid="{00000000-0005-0000-0000-0000C7000000}"/>
  </cellStyles>
  <dxfs count="256"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37437055574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87640003662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8764000366222"/>
        </patternFill>
      </fill>
    </dxf>
    <dxf>
      <font>
        <b/>
      </font>
      <fill>
        <patternFill patternType="gray0625">
          <bgColor rgb="FFFFFFCC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ill>
        <patternFill>
          <bgColor rgb="FF92D050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FF00"/>
        </patternFill>
      </fill>
    </dxf>
    <dxf>
      <fill>
        <patternFill>
          <bgColor theme="2" tint="-9.9948118533890809E-2"/>
        </patternFill>
      </fill>
    </dxf>
    <dxf>
      <font>
        <i/>
      </font>
      <fill>
        <patternFill>
          <bgColor theme="0" tint="-0.14987640003662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87640003662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0691854609822"/>
        </patternFill>
      </fill>
    </dxf>
    <dxf>
      <font>
        <b/>
      </font>
      <fill>
        <patternFill patternType="gray0625">
          <bgColor rgb="FFFFFFCC"/>
        </patternFill>
      </fill>
    </dxf>
    <dxf>
      <font>
        <i/>
      </font>
      <fill>
        <patternFill>
          <bgColor theme="0" tint="-0.14990691854609822"/>
        </patternFill>
      </fill>
    </dxf>
    <dxf>
      <font>
        <b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  <dxf>
      <font>
        <b val="0"/>
        <i/>
        <u val="none"/>
      </font>
      <fill>
        <patternFill>
          <bgColor theme="0" tint="-0.14996795556505021"/>
        </patternFill>
      </fill>
    </dxf>
    <dxf>
      <font>
        <b/>
        <i val="0"/>
      </font>
      <fill>
        <patternFill patternType="gray0625">
          <bgColor rgb="FFFFFFCC"/>
        </patternFill>
      </fill>
    </dxf>
  </dxfs>
  <tableStyles count="0" defaultTableStyle="TableStyleMedium9" defaultPivotStyle="PivotStyleLight16"/>
  <colors>
    <mruColors>
      <color rgb="FFFFFFCC"/>
      <color rgb="FFFF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33618</xdr:colOff>
      <xdr:row>48</xdr:row>
      <xdr:rowOff>114300</xdr:rowOff>
    </xdr:from>
    <xdr:to>
      <xdr:col>11</xdr:col>
      <xdr:colOff>671793</xdr:colOff>
      <xdr:row>48</xdr:row>
      <xdr:rowOff>180975</xdr:rowOff>
    </xdr:to>
    <xdr:pic>
      <xdr:nvPicPr>
        <xdr:cNvPr id="2" name="그림 1" descr="바닥라인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0" y="14811375"/>
          <a:ext cx="96107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4445</xdr:colOff>
      <xdr:row>2</xdr:row>
      <xdr:rowOff>228040</xdr:rowOff>
    </xdr:from>
    <xdr:to>
      <xdr:col>11</xdr:col>
      <xdr:colOff>942975</xdr:colOff>
      <xdr:row>2</xdr:row>
      <xdr:rowOff>228040</xdr:rowOff>
    </xdr:to>
    <xdr:cxnSp macro="">
      <xdr:nvCxnSpPr>
        <xdr:cNvPr id="3" name="직선 연결선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9207" y="675715"/>
          <a:ext cx="987774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228600</xdr:colOff>
          <xdr:row>8</xdr:row>
          <xdr:rowOff>38100</xdr:rowOff>
        </xdr:from>
        <xdr:to>
          <xdr:col>10</xdr:col>
          <xdr:colOff>704850</xdr:colOff>
          <xdr:row>11</xdr:row>
          <xdr:rowOff>1041400</xdr:rowOff>
        </xdr:to>
        <xdr:sp macro="" textlink="">
          <xdr:nvSpPr>
            <xdr:cNvPr id="57345" name="Object 1" hidden="1">
              <a:extLst>
                <a:ext uri="{63B3BB69-23CF-44E3-9099-C40C66FF867C}">
                  <a14:compatExt spid="_x0000_s57345"/>
                </a:ext>
                <a:ext uri="{FF2B5EF4-FFF2-40B4-BE49-F238E27FC236}">
                  <a16:creationId xmlns:a16="http://schemas.microsoft.com/office/drawing/2014/main" id="{00000000-0008-0000-0000-000001E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33618</xdr:colOff>
      <xdr:row>15</xdr:row>
      <xdr:rowOff>324971</xdr:rowOff>
    </xdr:from>
    <xdr:to>
      <xdr:col>11</xdr:col>
      <xdr:colOff>671793</xdr:colOff>
      <xdr:row>15</xdr:row>
      <xdr:rowOff>391646</xdr:rowOff>
    </xdr:to>
    <xdr:pic>
      <xdr:nvPicPr>
        <xdr:cNvPr id="5" name="그림 4" descr="바닥라인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0" y="7144871"/>
          <a:ext cx="9610725" cy="66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67238</xdr:colOff>
      <xdr:row>43</xdr:row>
      <xdr:rowOff>160021</xdr:rowOff>
    </xdr:from>
    <xdr:ext cx="9099622" cy="1089659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7238" y="13761721"/>
          <a:ext cx="9099622" cy="108965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hangingPunct="0"/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 </a:t>
          </a:r>
          <a:r>
            <a:rPr lang="ko-KR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소유권 정보</a:t>
          </a:r>
          <a:r>
            <a:rPr lang="en-US" altLang="ko-KR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본 프로젝트 문서는 코비젼이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제출하는 프로젝트 산출물의 하나이므로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이 문서의 소유권은 원칙적으로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 있습니다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그러나 문서의 형태 및 내용구성은 코비젼의 지적 자산이므로 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고객사</a:t>
          </a:r>
          <a:r>
            <a:rPr lang="en-US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] </a:t>
          </a:r>
          <a:r>
            <a:rPr lang="ko-KR" altLang="ko-KR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에서 이 문서를 다른 용도로 임의로 변경하여 사용할 수 없음을 주지하시기 바랍니다</a:t>
          </a:r>
          <a:r>
            <a:rPr lang="en-US" altLang="ko-KR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oneCellAnchor>
  <xdr:twoCellAnchor editAs="oneCell">
    <xdr:from>
      <xdr:col>10</xdr:col>
      <xdr:colOff>409575</xdr:colOff>
      <xdr:row>15</xdr:row>
      <xdr:rowOff>447675</xdr:rowOff>
    </xdr:from>
    <xdr:to>
      <xdr:col>11</xdr:col>
      <xdr:colOff>654571</xdr:colOff>
      <xdr:row>15</xdr:row>
      <xdr:rowOff>665169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7267575"/>
          <a:ext cx="992708" cy="217494"/>
        </a:xfrm>
        <a:prstGeom prst="rect">
          <a:avLst/>
        </a:prstGeom>
      </xdr:spPr>
    </xdr:pic>
    <xdr:clientData/>
  </xdr:twoCellAnchor>
  <xdr:twoCellAnchor editAs="oneCell">
    <xdr:from>
      <xdr:col>10</xdr:col>
      <xdr:colOff>409575</xdr:colOff>
      <xdr:row>49</xdr:row>
      <xdr:rowOff>47625</xdr:rowOff>
    </xdr:from>
    <xdr:to>
      <xdr:col>11</xdr:col>
      <xdr:colOff>654571</xdr:colOff>
      <xdr:row>49</xdr:row>
      <xdr:rowOff>268929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629650" y="14963775"/>
          <a:ext cx="992708" cy="221304"/>
        </a:xfrm>
        <a:prstGeom prst="rect">
          <a:avLst/>
        </a:prstGeom>
      </xdr:spPr>
    </xdr:pic>
    <xdr:clientData/>
  </xdr:twoCellAnchor>
  <xdr:twoCellAnchor>
    <xdr:from>
      <xdr:col>0</xdr:col>
      <xdr:colOff>9525</xdr:colOff>
      <xdr:row>0</xdr:row>
      <xdr:rowOff>0</xdr:rowOff>
    </xdr:from>
    <xdr:to>
      <xdr:col>2</xdr:col>
      <xdr:colOff>609600</xdr:colOff>
      <xdr:row>15</xdr:row>
      <xdr:rowOff>304800</xdr:rowOff>
    </xdr:to>
    <xdr:sp macro="" textlink="">
      <xdr:nvSpPr>
        <xdr:cNvPr id="9" name="Rectangle 419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9525" y="0"/>
          <a:ext cx="1943100" cy="7124700"/>
        </a:xfrm>
        <a:prstGeom prst="rect">
          <a:avLst/>
        </a:prstGeom>
        <a:solidFill>
          <a:srgbClr val="D8D8D8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127000" tIns="127000" rIns="127000" bIns="127000" anchor="t" upright="1"/>
        <a:lstStyle/>
        <a:p>
          <a:pPr algn="l" rtl="0">
            <a:lnSpc>
              <a:spcPts val="2200"/>
            </a:lnSpc>
            <a:defRPr sz="1000"/>
          </a:pPr>
          <a:r>
            <a:rPr lang="ko-KR" altLang="en-US" sz="14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문서정보</a:t>
          </a:r>
          <a:endParaRPr lang="ko-KR" altLang="en-US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문서번호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COVI-RES--20YY-231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5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작성일자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20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26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년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04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월 </a:t>
          </a:r>
          <a: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14</a:t>
          </a: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</a:rPr>
            <a:t>일</a:t>
          </a:r>
          <a:endParaRPr lang="ko-KR" altLang="en-US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 </a:t>
          </a: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</a:rPr>
            <a:t>작성부서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사업관리팀</a:t>
          </a:r>
          <a:br>
            <a:rPr lang="en-US" altLang="ko-KR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</a:br>
          <a:endParaRPr lang="en-US" altLang="ko-KR" sz="1000" b="0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1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작성자</a:t>
          </a:r>
          <a:endParaRPr lang="en-US" altLang="ko-KR" sz="1000" b="1" i="0" u="none" strike="noStrike" baseline="0">
            <a:solidFill>
              <a:srgbClr val="000000"/>
            </a:solidFill>
            <a:latin typeface="+mn-ea"/>
            <a:ea typeface="+mn-ea"/>
            <a:cs typeface="Times New Roman"/>
          </a:endParaRPr>
        </a:p>
        <a:p>
          <a:pPr algn="l" rtl="0">
            <a:lnSpc>
              <a:spcPts val="16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+mn-ea"/>
              <a:ea typeface="+mn-ea"/>
              <a:cs typeface="Times New Roman"/>
            </a:rPr>
            <a:t>강민석 </a:t>
          </a:r>
        </a:p>
        <a:p>
          <a:pPr algn="l" rtl="0">
            <a:lnSpc>
              <a:spcPts val="1500"/>
            </a:lnSpc>
            <a:defRPr sz="1000"/>
          </a:pPr>
          <a:endParaRPr lang="en-US" altLang="ko-KR" sz="1000" b="0" i="0" u="none" strike="noStrike" baseline="0">
            <a:solidFill>
              <a:srgbClr val="000000"/>
            </a:solidFill>
            <a:latin typeface="맑은 고딕"/>
            <a:ea typeface="맑은 고딕"/>
            <a:cs typeface="+mn-cs"/>
          </a:endParaRPr>
        </a:p>
        <a:p>
          <a:pPr algn="l" rtl="0">
            <a:lnSpc>
              <a:spcPts val="15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1000"/>
            </a:lnSpc>
            <a:defRPr sz="1000"/>
          </a:pPr>
          <a:r>
            <a:rPr lang="ko-KR" altLang="en-US" sz="1000" b="0" i="0" u="none" strike="noStrike" baseline="0">
              <a:solidFill>
                <a:srgbClr val="000000"/>
              </a:solidFill>
              <a:latin typeface="Times New Roman"/>
              <a:ea typeface="맑은 고딕"/>
              <a:cs typeface="Times New Roman"/>
            </a:rPr>
            <a:t> </a:t>
          </a: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800"/>
            </a:lnSpc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defRPr sz="1000"/>
          </a:pPr>
          <a:r>
            <a:rPr lang="ko-KR" alt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 </a:t>
          </a: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000"/>
            </a:lnSpc>
            <a:defRPr sz="1000"/>
          </a:pPr>
          <a:endParaRPr lang="ko-KR" altLang="en-US" sz="10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  <a:p>
          <a:pPr algn="l" rtl="0">
            <a:lnSpc>
              <a:spcPts val="1100"/>
            </a:lnSpc>
            <a:defRPr sz="1000"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Word_Document.docx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F449B-B5A4-4BCE-AB30-2227A5356A65}">
  <sheetPr>
    <pageSetUpPr fitToPage="1"/>
  </sheetPr>
  <dimension ref="A1:L50"/>
  <sheetViews>
    <sheetView showGridLines="0" view="pageBreakPreview" zoomScaleNormal="100" zoomScaleSheetLayoutView="100" workbookViewId="0">
      <selection activeCell="N3" sqref="N3"/>
    </sheetView>
  </sheetViews>
  <sheetFormatPr defaultColWidth="8.9140625" defaultRowHeight="17"/>
  <cols>
    <col min="1" max="1" width="8.25" style="28" customWidth="1"/>
    <col min="2" max="2" width="8.75" style="28" customWidth="1"/>
    <col min="3" max="3" width="7" style="28" customWidth="1"/>
    <col min="4" max="4" width="8" style="28" customWidth="1"/>
    <col min="5" max="5" width="18.75" style="28" customWidth="1"/>
    <col min="6" max="7" width="8.9140625" style="28"/>
    <col min="8" max="8" width="11.33203125" style="28" bestFit="1" customWidth="1"/>
    <col min="9" max="9" width="13.9140625" style="28" customWidth="1"/>
    <col min="10" max="10" width="7.33203125" style="28" customWidth="1"/>
    <col min="11" max="11" width="9.25" style="28" customWidth="1"/>
    <col min="12" max="12" width="11.25" style="28" customWidth="1"/>
    <col min="13" max="16384" width="8.9140625" style="28"/>
  </cols>
  <sheetData>
    <row r="1" spans="1:12">
      <c r="A1" s="27"/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>
      <c r="A2" s="27"/>
      <c r="B2" s="29"/>
      <c r="C2" s="27"/>
      <c r="D2" s="27"/>
      <c r="E2" s="27"/>
      <c r="F2" s="27"/>
      <c r="G2" s="27"/>
      <c r="H2" s="27"/>
      <c r="I2" s="27"/>
      <c r="J2" s="27"/>
      <c r="K2" s="27"/>
      <c r="L2" s="27"/>
    </row>
    <row r="3" spans="1:12" ht="135.75" customHeight="1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1" t="s">
        <v>48</v>
      </c>
    </row>
    <row r="4" spans="1:12" ht="56.25" customHeight="1">
      <c r="A4" s="30"/>
      <c r="B4" s="30"/>
      <c r="C4" s="30"/>
      <c r="D4" s="27"/>
      <c r="E4" s="27"/>
      <c r="F4" s="27"/>
      <c r="G4" s="27"/>
      <c r="H4" s="27"/>
      <c r="I4" s="27"/>
      <c r="J4" s="27"/>
      <c r="K4" s="27"/>
      <c r="L4" s="32" t="s">
        <v>68</v>
      </c>
    </row>
    <row r="5" spans="1:12" ht="33.5">
      <c r="A5" s="30"/>
      <c r="B5" s="30"/>
      <c r="C5" s="30"/>
      <c r="D5" s="27"/>
      <c r="E5" s="27"/>
      <c r="F5" s="27"/>
      <c r="G5" s="27"/>
      <c r="H5" s="27"/>
      <c r="I5" s="27"/>
      <c r="J5" s="27"/>
      <c r="K5" s="27"/>
      <c r="L5" s="33"/>
    </row>
    <row r="6" spans="1:12" ht="17.25" customHeight="1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</row>
    <row r="7" spans="1:12" ht="3.75" customHeight="1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</row>
    <row r="8" spans="1:12" ht="10.5" customHeight="1">
      <c r="A8" s="30"/>
      <c r="B8" s="30"/>
      <c r="C8" s="30"/>
      <c r="D8" s="27"/>
      <c r="E8" s="27"/>
      <c r="F8" s="27"/>
      <c r="G8" s="27"/>
      <c r="H8" s="27"/>
      <c r="I8" s="27"/>
      <c r="J8" s="27"/>
      <c r="K8" s="27"/>
      <c r="L8" s="27"/>
    </row>
    <row r="9" spans="1:12" ht="36">
      <c r="A9" s="30"/>
      <c r="B9" s="30"/>
      <c r="C9" s="30"/>
      <c r="D9" s="27"/>
      <c r="E9" s="27"/>
      <c r="F9" s="27"/>
      <c r="G9" s="27"/>
      <c r="H9" s="27"/>
      <c r="I9" s="27"/>
      <c r="J9" s="27"/>
      <c r="K9" s="27"/>
      <c r="L9" s="34"/>
    </row>
    <row r="10" spans="1:12">
      <c r="A10" s="30"/>
      <c r="B10" s="30"/>
      <c r="C10" s="30"/>
      <c r="D10" s="27"/>
      <c r="E10" s="27"/>
      <c r="F10" s="27"/>
      <c r="G10" s="27"/>
      <c r="H10" s="27"/>
      <c r="I10" s="27"/>
      <c r="J10" s="27"/>
      <c r="K10" s="27"/>
      <c r="L10" s="27"/>
    </row>
    <row r="11" spans="1:12">
      <c r="A11" s="27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</row>
    <row r="12" spans="1:12" ht="104.25" customHeight="1">
      <c r="A12" s="27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</row>
    <row r="13" spans="1:12" ht="21">
      <c r="A13" s="35"/>
      <c r="B13" s="35"/>
      <c r="C13" s="35"/>
      <c r="D13" s="73" t="s">
        <v>69</v>
      </c>
      <c r="E13" s="73"/>
      <c r="F13" s="73"/>
      <c r="G13" s="73"/>
      <c r="H13" s="73"/>
      <c r="I13" s="73"/>
      <c r="J13" s="73"/>
      <c r="K13" s="73"/>
      <c r="L13" s="73"/>
    </row>
    <row r="14" spans="1:12" ht="10.5" customHeight="1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</row>
    <row r="15" spans="1:12" ht="41.25" customHeight="1">
      <c r="A15" s="36"/>
      <c r="B15" s="36"/>
      <c r="C15" s="36"/>
      <c r="D15" s="74" t="s">
        <v>29</v>
      </c>
      <c r="E15" s="74"/>
      <c r="F15" s="74"/>
      <c r="G15" s="74"/>
      <c r="H15" s="74"/>
      <c r="I15" s="74"/>
      <c r="J15" s="74"/>
      <c r="K15" s="74"/>
      <c r="L15" s="74"/>
    </row>
    <row r="16" spans="1:12" ht="55.5" customHeight="1">
      <c r="A16" s="27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</row>
    <row r="17" spans="1:12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</row>
    <row r="18" spans="1:12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</row>
    <row r="19" spans="1:12" ht="17.25" customHeight="1">
      <c r="A19" s="75" t="s">
        <v>22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</row>
    <row r="20" spans="1:12" ht="17.5" thickBot="1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</row>
    <row r="21" spans="1:12" ht="30" customHeight="1">
      <c r="A21" s="76" t="s">
        <v>23</v>
      </c>
      <c r="B21" s="77"/>
      <c r="C21" s="78" t="s">
        <v>24</v>
      </c>
      <c r="D21" s="79"/>
      <c r="E21" s="78" t="s">
        <v>25</v>
      </c>
      <c r="F21" s="80"/>
      <c r="G21" s="80"/>
      <c r="H21" s="80"/>
      <c r="I21" s="80"/>
      <c r="J21" s="81"/>
      <c r="K21" s="82" t="s">
        <v>26</v>
      </c>
      <c r="L21" s="83"/>
    </row>
    <row r="22" spans="1:12">
      <c r="A22" s="84">
        <v>1</v>
      </c>
      <c r="B22" s="85"/>
      <c r="C22" s="86" t="s">
        <v>40</v>
      </c>
      <c r="D22" s="87"/>
      <c r="E22" s="88" t="s">
        <v>41</v>
      </c>
      <c r="F22" s="89"/>
      <c r="G22" s="89"/>
      <c r="H22" s="89"/>
      <c r="I22" s="89"/>
      <c r="J22" s="90"/>
      <c r="K22" s="91">
        <v>43797</v>
      </c>
      <c r="L22" s="92"/>
    </row>
    <row r="23" spans="1:12">
      <c r="A23" s="84">
        <v>1.2</v>
      </c>
      <c r="B23" s="85"/>
      <c r="C23" s="86" t="s">
        <v>42</v>
      </c>
      <c r="D23" s="87"/>
      <c r="E23" s="88" t="s">
        <v>46</v>
      </c>
      <c r="F23" s="89"/>
      <c r="G23" s="89"/>
      <c r="H23" s="89"/>
      <c r="I23" s="89"/>
      <c r="J23" s="90"/>
      <c r="K23" s="91" t="s">
        <v>37</v>
      </c>
      <c r="L23" s="92"/>
    </row>
    <row r="24" spans="1:12">
      <c r="A24" s="84">
        <v>1.3</v>
      </c>
      <c r="B24" s="85"/>
      <c r="C24" s="86" t="s">
        <v>43</v>
      </c>
      <c r="D24" s="87"/>
      <c r="E24" s="88" t="s">
        <v>47</v>
      </c>
      <c r="F24" s="89"/>
      <c r="G24" s="89"/>
      <c r="H24" s="89"/>
      <c r="I24" s="89"/>
      <c r="J24" s="90"/>
      <c r="K24" s="91">
        <v>44967</v>
      </c>
      <c r="L24" s="92"/>
    </row>
    <row r="25" spans="1:12">
      <c r="A25" s="84">
        <v>1.4</v>
      </c>
      <c r="B25" s="85"/>
      <c r="C25" s="86" t="s">
        <v>45</v>
      </c>
      <c r="D25" s="87"/>
      <c r="E25" s="88" t="s">
        <v>44</v>
      </c>
      <c r="F25" s="89"/>
      <c r="G25" s="89"/>
      <c r="H25" s="89"/>
      <c r="I25" s="89"/>
      <c r="J25" s="90"/>
      <c r="K25" s="91">
        <v>46009</v>
      </c>
      <c r="L25" s="92"/>
    </row>
    <row r="26" spans="1:12">
      <c r="A26" s="84">
        <v>1.5</v>
      </c>
      <c r="B26" s="85"/>
      <c r="C26" s="86" t="s">
        <v>45</v>
      </c>
      <c r="D26" s="87"/>
      <c r="E26" s="93" t="s">
        <v>63</v>
      </c>
      <c r="F26" s="94"/>
      <c r="G26" s="94"/>
      <c r="H26" s="94"/>
      <c r="I26" s="94"/>
      <c r="J26" s="95"/>
      <c r="K26" s="91">
        <v>46122</v>
      </c>
      <c r="L26" s="92"/>
    </row>
    <row r="27" spans="1:12" ht="17.25" customHeight="1">
      <c r="A27" s="84"/>
      <c r="B27" s="85"/>
      <c r="C27" s="96"/>
      <c r="D27" s="97"/>
      <c r="E27" s="93"/>
      <c r="F27" s="94"/>
      <c r="G27" s="94"/>
      <c r="H27" s="94"/>
      <c r="I27" s="94"/>
      <c r="J27" s="95"/>
      <c r="K27" s="98"/>
      <c r="L27" s="99"/>
    </row>
    <row r="28" spans="1:12">
      <c r="A28" s="84"/>
      <c r="B28" s="85"/>
      <c r="C28" s="96"/>
      <c r="D28" s="97"/>
      <c r="E28" s="93"/>
      <c r="F28" s="94"/>
      <c r="G28" s="94"/>
      <c r="H28" s="94"/>
      <c r="I28" s="94"/>
      <c r="J28" s="95"/>
      <c r="K28" s="98"/>
      <c r="L28" s="99"/>
    </row>
    <row r="29" spans="1:12">
      <c r="A29" s="84"/>
      <c r="B29" s="85"/>
      <c r="C29" s="96"/>
      <c r="D29" s="97"/>
      <c r="E29" s="93"/>
      <c r="F29" s="94"/>
      <c r="G29" s="94"/>
      <c r="H29" s="94"/>
      <c r="I29" s="94"/>
      <c r="J29" s="95"/>
      <c r="K29" s="98"/>
      <c r="L29" s="99"/>
    </row>
    <row r="30" spans="1:12">
      <c r="A30" s="84"/>
      <c r="B30" s="85"/>
      <c r="C30" s="96"/>
      <c r="D30" s="97"/>
      <c r="E30" s="93"/>
      <c r="F30" s="94"/>
      <c r="G30" s="94"/>
      <c r="H30" s="94"/>
      <c r="I30" s="94"/>
      <c r="J30" s="95"/>
      <c r="K30" s="98"/>
      <c r="L30" s="99"/>
    </row>
    <row r="31" spans="1:12">
      <c r="A31" s="84"/>
      <c r="B31" s="85"/>
      <c r="C31" s="96"/>
      <c r="D31" s="97"/>
      <c r="E31" s="93"/>
      <c r="F31" s="94"/>
      <c r="G31" s="94"/>
      <c r="H31" s="94"/>
      <c r="I31" s="94"/>
      <c r="J31" s="95"/>
      <c r="K31" s="98"/>
      <c r="L31" s="99"/>
    </row>
    <row r="32" spans="1:12">
      <c r="A32" s="84"/>
      <c r="B32" s="85"/>
      <c r="C32" s="96"/>
      <c r="D32" s="97"/>
      <c r="E32" s="93"/>
      <c r="F32" s="94"/>
      <c r="G32" s="94"/>
      <c r="H32" s="94"/>
      <c r="I32" s="94"/>
      <c r="J32" s="95"/>
      <c r="K32" s="98"/>
      <c r="L32" s="99"/>
    </row>
    <row r="33" spans="1:12">
      <c r="A33" s="84"/>
      <c r="B33" s="85"/>
      <c r="C33" s="96"/>
      <c r="D33" s="97"/>
      <c r="E33" s="93"/>
      <c r="F33" s="94"/>
      <c r="G33" s="94"/>
      <c r="H33" s="94"/>
      <c r="I33" s="94"/>
      <c r="J33" s="95"/>
      <c r="K33" s="98"/>
      <c r="L33" s="99"/>
    </row>
    <row r="34" spans="1:12">
      <c r="A34" s="84"/>
      <c r="B34" s="85"/>
      <c r="C34" s="96"/>
      <c r="D34" s="97"/>
      <c r="E34" s="93"/>
      <c r="F34" s="94"/>
      <c r="G34" s="94"/>
      <c r="H34" s="94"/>
      <c r="I34" s="94"/>
      <c r="J34" s="95"/>
      <c r="K34" s="98"/>
      <c r="L34" s="99"/>
    </row>
    <row r="35" spans="1:12">
      <c r="A35" s="84"/>
      <c r="B35" s="85"/>
      <c r="C35" s="96"/>
      <c r="D35" s="97"/>
      <c r="E35" s="93"/>
      <c r="F35" s="94"/>
      <c r="G35" s="94"/>
      <c r="H35" s="94"/>
      <c r="I35" s="94"/>
      <c r="J35" s="95"/>
      <c r="K35" s="98"/>
      <c r="L35" s="99"/>
    </row>
    <row r="36" spans="1:12">
      <c r="A36" s="84"/>
      <c r="B36" s="85"/>
      <c r="C36" s="96"/>
      <c r="D36" s="97"/>
      <c r="E36" s="93"/>
      <c r="F36" s="94"/>
      <c r="G36" s="94"/>
      <c r="H36" s="94"/>
      <c r="I36" s="94"/>
      <c r="J36" s="95"/>
      <c r="K36" s="98"/>
      <c r="L36" s="99"/>
    </row>
    <row r="37" spans="1:12">
      <c r="A37" s="84"/>
      <c r="B37" s="85"/>
      <c r="C37" s="96"/>
      <c r="D37" s="97"/>
      <c r="E37" s="93"/>
      <c r="F37" s="94"/>
      <c r="G37" s="94"/>
      <c r="H37" s="94"/>
      <c r="I37" s="94"/>
      <c r="J37" s="95"/>
      <c r="K37" s="98"/>
      <c r="L37" s="99"/>
    </row>
    <row r="38" spans="1:12">
      <c r="A38" s="84"/>
      <c r="B38" s="85"/>
      <c r="C38" s="96"/>
      <c r="D38" s="97"/>
      <c r="E38" s="93"/>
      <c r="F38" s="94"/>
      <c r="G38" s="94"/>
      <c r="H38" s="94"/>
      <c r="I38" s="94"/>
      <c r="J38" s="95"/>
      <c r="K38" s="98"/>
      <c r="L38" s="99"/>
    </row>
    <row r="39" spans="1:12">
      <c r="A39" s="84"/>
      <c r="B39" s="85"/>
      <c r="C39" s="96"/>
      <c r="D39" s="97"/>
      <c r="E39" s="93"/>
      <c r="F39" s="94"/>
      <c r="G39" s="94"/>
      <c r="H39" s="94"/>
      <c r="I39" s="94"/>
      <c r="J39" s="95"/>
      <c r="K39" s="98"/>
      <c r="L39" s="99"/>
    </row>
    <row r="40" spans="1:12">
      <c r="A40" s="84"/>
      <c r="B40" s="85"/>
      <c r="C40" s="96"/>
      <c r="D40" s="97"/>
      <c r="E40" s="93"/>
      <c r="F40" s="94"/>
      <c r="G40" s="94"/>
      <c r="H40" s="94"/>
      <c r="I40" s="94"/>
      <c r="J40" s="95"/>
      <c r="K40" s="98"/>
      <c r="L40" s="99"/>
    </row>
    <row r="41" spans="1:12" ht="17.5" thickBot="1">
      <c r="A41" s="100"/>
      <c r="B41" s="101"/>
      <c r="C41" s="102"/>
      <c r="D41" s="103"/>
      <c r="E41" s="104"/>
      <c r="F41" s="105"/>
      <c r="G41" s="105"/>
      <c r="H41" s="105"/>
      <c r="I41" s="105"/>
      <c r="J41" s="106"/>
      <c r="K41" s="107"/>
      <c r="L41" s="108"/>
    </row>
    <row r="42" spans="1:12">
      <c r="A42" s="38"/>
      <c r="B42" s="38"/>
      <c r="C42" s="39"/>
      <c r="D42" s="39"/>
      <c r="E42" s="39"/>
      <c r="F42" s="39"/>
      <c r="G42" s="39"/>
      <c r="H42" s="39"/>
      <c r="I42" s="39"/>
      <c r="J42" s="39"/>
      <c r="K42" s="40"/>
      <c r="L42" s="40"/>
    </row>
    <row r="43" spans="1:12">
      <c r="A43" s="38"/>
      <c r="B43" s="38"/>
      <c r="C43" s="39"/>
      <c r="D43" s="39"/>
      <c r="E43" s="39"/>
      <c r="F43" s="39"/>
      <c r="G43" s="39"/>
      <c r="H43" s="39"/>
      <c r="I43" s="39"/>
      <c r="J43" s="39"/>
      <c r="K43" s="40"/>
      <c r="L43" s="40"/>
    </row>
    <row r="44" spans="1:12">
      <c r="A44" s="38"/>
      <c r="B44" s="38"/>
      <c r="C44" s="39"/>
      <c r="D44" s="39"/>
      <c r="E44" s="39"/>
      <c r="F44" s="39"/>
      <c r="G44" s="39"/>
      <c r="H44" s="39"/>
      <c r="I44" s="39"/>
      <c r="J44" s="39"/>
      <c r="K44" s="40"/>
      <c r="L44" s="40"/>
    </row>
    <row r="45" spans="1:12">
      <c r="A45" s="38"/>
      <c r="B45" s="38"/>
      <c r="C45" s="39"/>
      <c r="D45" s="39"/>
      <c r="E45" s="39"/>
      <c r="F45" s="39"/>
      <c r="G45" s="39"/>
      <c r="H45" s="39"/>
      <c r="I45" s="39"/>
      <c r="J45" s="39"/>
      <c r="K45" s="40"/>
      <c r="L45" s="40"/>
    </row>
    <row r="46" spans="1:12">
      <c r="A46" s="38"/>
      <c r="B46" s="38"/>
      <c r="C46" s="39"/>
      <c r="D46" s="39"/>
      <c r="E46" s="39"/>
      <c r="F46" s="39"/>
      <c r="G46" s="39"/>
      <c r="H46" s="39"/>
      <c r="I46" s="39"/>
      <c r="J46" s="39"/>
      <c r="K46" s="40"/>
      <c r="L46" s="40"/>
    </row>
    <row r="47" spans="1:12">
      <c r="A47" s="38"/>
      <c r="B47" s="38"/>
      <c r="C47" s="39"/>
      <c r="D47" s="39"/>
      <c r="E47" s="39"/>
      <c r="F47" s="39"/>
      <c r="G47" s="39"/>
      <c r="H47" s="39"/>
      <c r="I47" s="39"/>
      <c r="J47" s="39"/>
      <c r="K47" s="40"/>
      <c r="L47" s="40"/>
    </row>
    <row r="48" spans="1:12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</row>
    <row r="50" ht="25.5" customHeight="1"/>
  </sheetData>
  <mergeCells count="88">
    <mergeCell ref="A40:B40"/>
    <mergeCell ref="C40:D40"/>
    <mergeCell ref="E40:J40"/>
    <mergeCell ref="K40:L40"/>
    <mergeCell ref="A41:B41"/>
    <mergeCell ref="C41:D41"/>
    <mergeCell ref="E41:J41"/>
    <mergeCell ref="K41:L41"/>
    <mergeCell ref="A38:B38"/>
    <mergeCell ref="C38:D38"/>
    <mergeCell ref="E38:J38"/>
    <mergeCell ref="K38:L38"/>
    <mergeCell ref="A39:B39"/>
    <mergeCell ref="C39:D39"/>
    <mergeCell ref="E39:J39"/>
    <mergeCell ref="K39:L39"/>
    <mergeCell ref="A36:B36"/>
    <mergeCell ref="C36:D36"/>
    <mergeCell ref="E36:J36"/>
    <mergeCell ref="K36:L36"/>
    <mergeCell ref="A37:B37"/>
    <mergeCell ref="C37:D37"/>
    <mergeCell ref="E37:J37"/>
    <mergeCell ref="K37:L37"/>
    <mergeCell ref="A34:B34"/>
    <mergeCell ref="C34:D34"/>
    <mergeCell ref="E34:J34"/>
    <mergeCell ref="K34:L34"/>
    <mergeCell ref="A35:B35"/>
    <mergeCell ref="C35:D35"/>
    <mergeCell ref="E35:J35"/>
    <mergeCell ref="K35:L35"/>
    <mergeCell ref="A32:B32"/>
    <mergeCell ref="C32:D32"/>
    <mergeCell ref="E32:J32"/>
    <mergeCell ref="K32:L32"/>
    <mergeCell ref="A33:B33"/>
    <mergeCell ref="C33:D33"/>
    <mergeCell ref="E33:J33"/>
    <mergeCell ref="K33:L33"/>
    <mergeCell ref="A30:B30"/>
    <mergeCell ref="C30:D30"/>
    <mergeCell ref="E30:J30"/>
    <mergeCell ref="K30:L30"/>
    <mergeCell ref="A31:B31"/>
    <mergeCell ref="C31:D31"/>
    <mergeCell ref="E31:J31"/>
    <mergeCell ref="K31:L31"/>
    <mergeCell ref="A28:B28"/>
    <mergeCell ref="C28:D28"/>
    <mergeCell ref="E28:J28"/>
    <mergeCell ref="K28:L28"/>
    <mergeCell ref="A29:B29"/>
    <mergeCell ref="C29:D29"/>
    <mergeCell ref="E29:J29"/>
    <mergeCell ref="K29:L29"/>
    <mergeCell ref="A26:B26"/>
    <mergeCell ref="C26:D26"/>
    <mergeCell ref="E26:J26"/>
    <mergeCell ref="K26:L26"/>
    <mergeCell ref="A27:B27"/>
    <mergeCell ref="C27:D27"/>
    <mergeCell ref="E27:J27"/>
    <mergeCell ref="K27:L27"/>
    <mergeCell ref="A24:B24"/>
    <mergeCell ref="C24:D24"/>
    <mergeCell ref="E24:J24"/>
    <mergeCell ref="K24:L24"/>
    <mergeCell ref="A25:B25"/>
    <mergeCell ref="C25:D25"/>
    <mergeCell ref="E25:J25"/>
    <mergeCell ref="K25:L25"/>
    <mergeCell ref="A22:B22"/>
    <mergeCell ref="C22:D22"/>
    <mergeCell ref="E22:J22"/>
    <mergeCell ref="K22:L22"/>
    <mergeCell ref="A23:B23"/>
    <mergeCell ref="C23:D23"/>
    <mergeCell ref="E23:J23"/>
    <mergeCell ref="K23:L23"/>
    <mergeCell ref="D13:L13"/>
    <mergeCell ref="A14:L14"/>
    <mergeCell ref="D15:L15"/>
    <mergeCell ref="A19:L19"/>
    <mergeCell ref="A21:B21"/>
    <mergeCell ref="C21:D21"/>
    <mergeCell ref="E21:J21"/>
    <mergeCell ref="K21:L21"/>
  </mergeCells>
  <phoneticPr fontId="18" type="noConversion"/>
  <pageMargins left="0.70866141732283472" right="0.78740157480314965" top="0.35433070866141736" bottom="0.15748031496062992" header="0" footer="0"/>
  <pageSetup paperSize="9" scale="92" fitToHeight="0" orientation="landscape" r:id="rId1"/>
  <rowBreaks count="1" manualBreakCount="1">
    <brk id="16" max="11" man="1"/>
  </rowBreaks>
  <drawing r:id="rId2"/>
  <legacyDrawing r:id="rId3"/>
  <oleObjects>
    <mc:AlternateContent xmlns:mc="http://schemas.openxmlformats.org/markup-compatibility/2006">
      <mc:Choice Requires="x14">
        <oleObject progId="Word.Document.12" shapeId="57345" r:id="rId4">
          <objectPr defaultSize="0" autoPict="0" r:id="rId5">
            <anchor moveWithCells="1">
              <from>
                <xdr:col>4</xdr:col>
                <xdr:colOff>228600</xdr:colOff>
                <xdr:row>8</xdr:row>
                <xdr:rowOff>38100</xdr:rowOff>
              </from>
              <to>
                <xdr:col>10</xdr:col>
                <xdr:colOff>704850</xdr:colOff>
                <xdr:row>11</xdr:row>
                <xdr:rowOff>1041400</xdr:rowOff>
              </to>
            </anchor>
          </objectPr>
        </oleObject>
      </mc:Choice>
      <mc:Fallback>
        <oleObject progId="Word.Document.12" shapeId="5734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4213B-F48C-435B-B1CB-151AF5D653F2}">
  <sheetPr>
    <pageSetUpPr fitToPage="1"/>
  </sheetPr>
  <dimension ref="A1:W18"/>
  <sheetViews>
    <sheetView showGridLines="0" zoomScaleNormal="100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F8" sqref="F8"/>
    </sheetView>
  </sheetViews>
  <sheetFormatPr defaultColWidth="8.9140625" defaultRowHeight="16"/>
  <cols>
    <col min="1" max="1" width="3.4140625" style="7" customWidth="1"/>
    <col min="2" max="2" width="10.4140625" style="7" customWidth="1"/>
    <col min="3" max="3" width="12.9140625" style="9" customWidth="1"/>
    <col min="4" max="4" width="21.08203125" style="7" customWidth="1"/>
    <col min="5" max="5" width="20.83203125" style="7" customWidth="1"/>
    <col min="6" max="6" width="28.83203125" style="7" customWidth="1"/>
    <col min="7" max="8" width="28.83203125" style="8" customWidth="1"/>
    <col min="9" max="9" width="6.4140625" style="9" customWidth="1"/>
    <col min="10" max="10" width="7.58203125" style="9" customWidth="1"/>
    <col min="11" max="12" width="10.08203125" style="7" customWidth="1"/>
    <col min="13" max="13" width="6.4140625" style="7" customWidth="1"/>
    <col min="14" max="14" width="9.9140625" style="7" customWidth="1"/>
    <col min="15" max="15" width="29.9140625" style="7" customWidth="1"/>
    <col min="16" max="17" width="6.4140625" style="9" customWidth="1"/>
    <col min="18" max="18" width="3.6640625" style="9" customWidth="1"/>
    <col min="19" max="19" width="4.4140625" style="9" bestFit="1" customWidth="1"/>
    <col min="20" max="21" width="10.66406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협업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179</v>
      </c>
      <c r="V2" s="22" t="s">
        <v>35</v>
      </c>
      <c r="W2" s="23">
        <v>46126</v>
      </c>
    </row>
    <row r="3" spans="1:23" s="6" customFormat="1" ht="3" customHeight="1">
      <c r="A3" s="10"/>
      <c r="B3" s="13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17.5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44" thickBot="1">
      <c r="A5" s="14" t="s">
        <v>17</v>
      </c>
      <c r="B5" s="25" t="s">
        <v>39</v>
      </c>
      <c r="C5" s="15" t="s">
        <v>0</v>
      </c>
      <c r="D5" s="25" t="s">
        <v>88</v>
      </c>
      <c r="E5" s="25" t="s">
        <v>27</v>
      </c>
      <c r="F5" s="25" t="s">
        <v>28</v>
      </c>
      <c r="G5" s="25" t="s">
        <v>16</v>
      </c>
      <c r="H5" s="25" t="s">
        <v>18</v>
      </c>
      <c r="I5" s="25" t="s">
        <v>57</v>
      </c>
      <c r="J5" s="25" t="s">
        <v>66</v>
      </c>
      <c r="K5" s="25" t="s">
        <v>62</v>
      </c>
      <c r="L5" s="25" t="s">
        <v>65</v>
      </c>
      <c r="M5" s="25" t="s">
        <v>58</v>
      </c>
      <c r="N5" s="25" t="s">
        <v>64</v>
      </c>
      <c r="O5" s="25" t="s">
        <v>59</v>
      </c>
      <c r="P5" s="25" t="s">
        <v>60</v>
      </c>
      <c r="Q5" s="25" t="s">
        <v>61</v>
      </c>
      <c r="R5" s="25" t="s">
        <v>67</v>
      </c>
      <c r="S5" s="25" t="s">
        <v>19</v>
      </c>
      <c r="T5" s="25" t="s">
        <v>33</v>
      </c>
      <c r="U5" s="25" t="s">
        <v>32</v>
      </c>
      <c r="V5" s="25" t="s">
        <v>20</v>
      </c>
      <c r="W5" s="16" t="s">
        <v>21</v>
      </c>
    </row>
    <row r="6" spans="1:23" ht="43.5">
      <c r="A6" s="43">
        <f>ROW($A6)-5</f>
        <v>1</v>
      </c>
      <c r="B6" s="44" t="s">
        <v>70</v>
      </c>
      <c r="C6" s="44" t="s">
        <v>206</v>
      </c>
      <c r="D6" s="45" t="s">
        <v>71</v>
      </c>
      <c r="E6" s="46" t="s">
        <v>72</v>
      </c>
      <c r="F6" s="47"/>
      <c r="G6" s="48"/>
      <c r="H6" s="49" t="s">
        <v>73</v>
      </c>
      <c r="I6" s="24"/>
      <c r="J6" s="24"/>
      <c r="K6" s="42"/>
      <c r="L6" s="24"/>
      <c r="M6" s="24"/>
      <c r="N6" s="24"/>
      <c r="O6" s="41"/>
      <c r="P6" s="41"/>
      <c r="Q6" s="41"/>
      <c r="R6" s="43" t="s">
        <v>1</v>
      </c>
      <c r="S6" s="50" t="s">
        <v>6</v>
      </c>
      <c r="T6" s="50" t="s">
        <v>84</v>
      </c>
      <c r="U6" s="24"/>
      <c r="V6" s="24"/>
      <c r="W6" s="24"/>
    </row>
    <row r="7" spans="1:23" ht="48">
      <c r="A7" s="43">
        <f>ROW($A7)-5</f>
        <v>2</v>
      </c>
      <c r="B7" s="44" t="s">
        <v>70</v>
      </c>
      <c r="C7" s="44" t="s">
        <v>207</v>
      </c>
      <c r="D7" s="50" t="s">
        <v>74</v>
      </c>
      <c r="E7" s="46" t="s">
        <v>75</v>
      </c>
      <c r="F7" s="47"/>
      <c r="G7" s="48" t="s">
        <v>76</v>
      </c>
      <c r="H7" s="46" t="s">
        <v>77</v>
      </c>
      <c r="I7" s="24"/>
      <c r="J7" s="24"/>
      <c r="K7" s="24"/>
      <c r="L7" s="24"/>
      <c r="M7" s="24"/>
      <c r="N7" s="24"/>
      <c r="O7" s="24"/>
      <c r="P7" s="24"/>
      <c r="Q7" s="24"/>
      <c r="R7" s="51" t="s">
        <v>1</v>
      </c>
      <c r="S7" s="50" t="s">
        <v>6</v>
      </c>
      <c r="T7" s="50" t="s">
        <v>85</v>
      </c>
      <c r="U7" s="24"/>
      <c r="V7" s="24"/>
      <c r="W7" s="24"/>
    </row>
    <row r="8" spans="1:23" ht="58">
      <c r="A8" s="43">
        <f>ROW($A8)-5</f>
        <v>3</v>
      </c>
      <c r="B8" s="44" t="s">
        <v>70</v>
      </c>
      <c r="C8" s="44" t="s">
        <v>185</v>
      </c>
      <c r="D8" s="45" t="s">
        <v>78</v>
      </c>
      <c r="E8" s="46" t="s">
        <v>79</v>
      </c>
      <c r="F8" s="47"/>
      <c r="G8" s="48"/>
      <c r="H8" s="46" t="s">
        <v>80</v>
      </c>
      <c r="I8" s="24"/>
      <c r="J8" s="24"/>
      <c r="K8" s="24"/>
      <c r="L8" s="24"/>
      <c r="M8" s="24"/>
      <c r="N8" s="24"/>
      <c r="O8" s="24"/>
      <c r="P8" s="24"/>
      <c r="Q8" s="24"/>
      <c r="R8" s="43" t="s">
        <v>1</v>
      </c>
      <c r="S8" s="50" t="s">
        <v>6</v>
      </c>
      <c r="T8" s="50" t="s">
        <v>86</v>
      </c>
      <c r="U8" s="24"/>
      <c r="V8" s="24"/>
      <c r="W8" s="24"/>
    </row>
    <row r="9" spans="1:23" ht="43.5">
      <c r="A9" s="43">
        <f>ROW($A9)-5</f>
        <v>4</v>
      </c>
      <c r="B9" s="44" t="s">
        <v>70</v>
      </c>
      <c r="C9" s="44" t="s">
        <v>209</v>
      </c>
      <c r="D9" s="45" t="s">
        <v>81</v>
      </c>
      <c r="E9" s="46" t="s">
        <v>82</v>
      </c>
      <c r="F9" s="47"/>
      <c r="G9" s="48"/>
      <c r="H9" s="46" t="s">
        <v>83</v>
      </c>
      <c r="I9" s="24"/>
      <c r="J9" s="24"/>
      <c r="K9" s="24"/>
      <c r="L9" s="24"/>
      <c r="M9" s="24"/>
      <c r="N9" s="24"/>
      <c r="O9" s="24"/>
      <c r="P9" s="24"/>
      <c r="Q9" s="24"/>
      <c r="R9" s="43" t="s">
        <v>1</v>
      </c>
      <c r="S9" s="50" t="s">
        <v>6</v>
      </c>
      <c r="T9" s="50" t="s">
        <v>87</v>
      </c>
      <c r="U9" s="24"/>
      <c r="V9" s="24"/>
      <c r="W9" s="24"/>
    </row>
    <row r="10" spans="1:23" ht="32">
      <c r="A10" s="43">
        <f t="shared" ref="A10:A18" si="0">ROW($A10)-5</f>
        <v>5</v>
      </c>
      <c r="B10" s="44" t="s">
        <v>70</v>
      </c>
      <c r="C10" s="44" t="s">
        <v>188</v>
      </c>
      <c r="D10" s="48" t="s">
        <v>190</v>
      </c>
      <c r="E10" s="48" t="s">
        <v>184</v>
      </c>
      <c r="F10" s="48" t="s">
        <v>187</v>
      </c>
      <c r="G10" s="48"/>
      <c r="H10" s="48"/>
      <c r="I10" s="59"/>
      <c r="J10" s="59"/>
      <c r="K10" s="48"/>
      <c r="L10" s="48"/>
      <c r="M10" s="48"/>
      <c r="N10" s="48"/>
      <c r="O10" s="48"/>
      <c r="P10" s="59"/>
      <c r="Q10" s="59"/>
      <c r="R10" s="59"/>
      <c r="S10" s="59"/>
      <c r="T10" s="48"/>
      <c r="U10" s="48"/>
      <c r="V10" s="59"/>
      <c r="W10" s="48"/>
    </row>
    <row r="11" spans="1:23">
      <c r="A11" s="43">
        <f t="shared" si="0"/>
        <v>6</v>
      </c>
      <c r="B11" s="44" t="s">
        <v>70</v>
      </c>
      <c r="C11" s="44" t="s">
        <v>189</v>
      </c>
      <c r="D11" s="48" t="s">
        <v>191</v>
      </c>
      <c r="E11" s="48" t="s">
        <v>184</v>
      </c>
      <c r="F11" s="48" t="s">
        <v>186</v>
      </c>
      <c r="G11" s="48"/>
      <c r="H11" s="48"/>
      <c r="I11" s="59"/>
      <c r="J11" s="59"/>
      <c r="K11" s="48"/>
      <c r="L11" s="48"/>
      <c r="M11" s="48"/>
      <c r="N11" s="48"/>
      <c r="O11" s="48"/>
      <c r="P11" s="59"/>
      <c r="Q11" s="59"/>
      <c r="R11" s="59"/>
      <c r="S11" s="59"/>
      <c r="T11" s="48"/>
      <c r="U11" s="48"/>
      <c r="V11" s="59"/>
      <c r="W11" s="48"/>
    </row>
    <row r="12" spans="1:23">
      <c r="A12" s="43">
        <f t="shared" si="0"/>
        <v>7</v>
      </c>
      <c r="B12" s="44" t="s">
        <v>70</v>
      </c>
      <c r="C12" s="44" t="s">
        <v>199</v>
      </c>
      <c r="D12" s="48" t="s">
        <v>192</v>
      </c>
      <c r="E12" s="48" t="s">
        <v>184</v>
      </c>
      <c r="F12" s="48" t="s">
        <v>186</v>
      </c>
      <c r="G12" s="48"/>
      <c r="H12" s="48"/>
      <c r="I12" s="59"/>
      <c r="J12" s="59"/>
      <c r="K12" s="48"/>
      <c r="L12" s="48"/>
      <c r="M12" s="48"/>
      <c r="N12" s="48"/>
      <c r="O12" s="48"/>
      <c r="P12" s="59"/>
      <c r="Q12" s="59"/>
      <c r="R12" s="59"/>
      <c r="S12" s="59"/>
      <c r="T12" s="48"/>
      <c r="U12" s="48"/>
      <c r="V12" s="59"/>
      <c r="W12" s="48"/>
    </row>
    <row r="13" spans="1:23">
      <c r="A13" s="43">
        <f t="shared" si="0"/>
        <v>8</v>
      </c>
      <c r="B13" s="44" t="s">
        <v>70</v>
      </c>
      <c r="C13" s="44" t="s">
        <v>200</v>
      </c>
      <c r="D13" s="48" t="s">
        <v>193</v>
      </c>
      <c r="E13" s="48" t="s">
        <v>184</v>
      </c>
      <c r="F13" s="48" t="s">
        <v>186</v>
      </c>
      <c r="G13" s="48"/>
      <c r="H13" s="48"/>
      <c r="I13" s="59"/>
      <c r="J13" s="59"/>
      <c r="K13" s="48"/>
      <c r="L13" s="48"/>
      <c r="M13" s="48"/>
      <c r="N13" s="48"/>
      <c r="O13" s="48"/>
      <c r="P13" s="59"/>
      <c r="Q13" s="59"/>
      <c r="R13" s="59"/>
      <c r="S13" s="59"/>
      <c r="T13" s="48"/>
      <c r="U13" s="48"/>
      <c r="V13" s="59"/>
      <c r="W13" s="48"/>
    </row>
    <row r="14" spans="1:23" ht="32">
      <c r="A14" s="43">
        <f t="shared" si="0"/>
        <v>9</v>
      </c>
      <c r="B14" s="44" t="s">
        <v>70</v>
      </c>
      <c r="C14" s="44" t="s">
        <v>201</v>
      </c>
      <c r="D14" s="48" t="s">
        <v>194</v>
      </c>
      <c r="E14" s="48" t="s">
        <v>184</v>
      </c>
      <c r="F14" s="48" t="s">
        <v>210</v>
      </c>
      <c r="G14" s="48"/>
      <c r="H14" s="48"/>
      <c r="I14" s="59"/>
      <c r="J14" s="59"/>
      <c r="K14" s="48"/>
      <c r="L14" s="48"/>
      <c r="M14" s="48"/>
      <c r="N14" s="48"/>
      <c r="O14" s="48"/>
      <c r="P14" s="59"/>
      <c r="Q14" s="59"/>
      <c r="R14" s="59"/>
      <c r="S14" s="59"/>
      <c r="T14" s="48"/>
      <c r="U14" s="48"/>
      <c r="V14" s="59"/>
      <c r="W14" s="48"/>
    </row>
    <row r="15" spans="1:23">
      <c r="A15" s="43">
        <f t="shared" si="0"/>
        <v>10</v>
      </c>
      <c r="B15" s="44" t="s">
        <v>70</v>
      </c>
      <c r="C15" s="44" t="s">
        <v>202</v>
      </c>
      <c r="D15" s="48" t="s">
        <v>195</v>
      </c>
      <c r="E15" s="48" t="s">
        <v>184</v>
      </c>
      <c r="F15" s="48" t="s">
        <v>186</v>
      </c>
      <c r="G15" s="48"/>
      <c r="H15" s="48"/>
      <c r="I15" s="59"/>
      <c r="J15" s="59"/>
      <c r="K15" s="48"/>
      <c r="L15" s="48"/>
      <c r="M15" s="48"/>
      <c r="N15" s="48"/>
      <c r="O15" s="48"/>
      <c r="P15" s="59"/>
      <c r="Q15" s="59"/>
      <c r="R15" s="59"/>
      <c r="S15" s="59"/>
      <c r="T15" s="48"/>
      <c r="U15" s="48"/>
      <c r="V15" s="59"/>
      <c r="W15" s="48"/>
    </row>
    <row r="16" spans="1:23">
      <c r="A16" s="43">
        <f t="shared" si="0"/>
        <v>11</v>
      </c>
      <c r="B16" s="44" t="s">
        <v>70</v>
      </c>
      <c r="C16" s="44" t="s">
        <v>203</v>
      </c>
      <c r="D16" s="48" t="s">
        <v>196</v>
      </c>
      <c r="E16" s="48" t="s">
        <v>184</v>
      </c>
      <c r="F16" s="48" t="s">
        <v>186</v>
      </c>
      <c r="G16" s="48"/>
      <c r="H16" s="48"/>
      <c r="I16" s="59"/>
      <c r="J16" s="59"/>
      <c r="K16" s="48"/>
      <c r="L16" s="48"/>
      <c r="M16" s="48"/>
      <c r="N16" s="48"/>
      <c r="O16" s="48"/>
      <c r="P16" s="59"/>
      <c r="Q16" s="59"/>
      <c r="R16" s="59"/>
      <c r="S16" s="59"/>
      <c r="T16" s="48"/>
      <c r="U16" s="48"/>
      <c r="V16" s="59"/>
      <c r="W16" s="48"/>
    </row>
    <row r="17" spans="1:23" ht="32">
      <c r="A17" s="43">
        <f t="shared" si="0"/>
        <v>12</v>
      </c>
      <c r="B17" s="44" t="s">
        <v>70</v>
      </c>
      <c r="C17" s="44" t="s">
        <v>204</v>
      </c>
      <c r="D17" s="47" t="s">
        <v>197</v>
      </c>
      <c r="E17" s="48" t="s">
        <v>184</v>
      </c>
      <c r="F17" s="48" t="s">
        <v>208</v>
      </c>
      <c r="G17" s="48"/>
      <c r="H17" s="48"/>
      <c r="I17" s="59"/>
      <c r="J17" s="59"/>
      <c r="K17" s="48"/>
      <c r="L17" s="48"/>
      <c r="M17" s="48"/>
      <c r="N17" s="48"/>
      <c r="O17" s="48"/>
      <c r="P17" s="59"/>
      <c r="Q17" s="59"/>
      <c r="R17" s="59"/>
      <c r="S17" s="59"/>
      <c r="T17" s="48"/>
      <c r="U17" s="48"/>
      <c r="V17" s="59"/>
      <c r="W17" s="48"/>
    </row>
    <row r="18" spans="1:23" ht="32">
      <c r="A18" s="43">
        <f t="shared" si="0"/>
        <v>13</v>
      </c>
      <c r="B18" s="44" t="s">
        <v>70</v>
      </c>
      <c r="C18" s="44" t="s">
        <v>205</v>
      </c>
      <c r="D18" s="47" t="s">
        <v>198</v>
      </c>
      <c r="E18" s="48" t="s">
        <v>184</v>
      </c>
      <c r="F18" s="48" t="s">
        <v>208</v>
      </c>
      <c r="G18" s="48"/>
      <c r="H18" s="48"/>
      <c r="I18" s="59"/>
      <c r="J18" s="59"/>
      <c r="K18" s="47"/>
      <c r="L18" s="47"/>
      <c r="M18" s="47"/>
      <c r="N18" s="47"/>
      <c r="O18" s="47"/>
      <c r="P18" s="59"/>
      <c r="Q18" s="59"/>
      <c r="R18" s="59"/>
      <c r="S18" s="59"/>
      <c r="T18" s="47"/>
      <c r="U18" s="47"/>
      <c r="V18" s="59"/>
      <c r="W18" s="47"/>
    </row>
  </sheetData>
  <mergeCells count="5">
    <mergeCell ref="R4:W4"/>
    <mergeCell ref="A1:O1"/>
    <mergeCell ref="A2:E2"/>
    <mergeCell ref="A4:H4"/>
    <mergeCell ref="I4:Q4"/>
  </mergeCells>
  <phoneticPr fontId="18" type="noConversion"/>
  <conditionalFormatting sqref="A19:H90 D10:H18">
    <cfRule type="expression" dxfId="255" priority="181">
      <formula>IF($J10="제외", TRUE, FALSE)</formula>
    </cfRule>
    <cfRule type="expression" dxfId="254" priority="182">
      <formula>IF(OR($J10="부분수용", $J10="불가"), TRUE, FALSE)</formula>
    </cfRule>
  </conditionalFormatting>
  <conditionalFormatting sqref="S10:W91 U6:W9">
    <cfRule type="expression" dxfId="253" priority="87">
      <formula>IF($S6="제외", TRUE, FALSE)</formula>
    </cfRule>
    <cfRule type="expression" dxfId="252" priority="88">
      <formula>IF(OR($S6="부분수용", $S6="불가"), TRUE, FALSE)</formula>
    </cfRule>
  </conditionalFormatting>
  <conditionalFormatting sqref="I10:I91">
    <cfRule type="expression" dxfId="251" priority="83">
      <formula>IF(#REF!="제외", TRUE, FALSE)</formula>
    </cfRule>
    <cfRule type="expression" dxfId="250" priority="84">
      <formula>IF(OR(#REF!="부분수용", #REF!="불가"), TRUE, FALSE)</formula>
    </cfRule>
  </conditionalFormatting>
  <conditionalFormatting sqref="Q10:Q91 O10:O91">
    <cfRule type="expression" dxfId="249" priority="81">
      <formula>IF(#REF!="제외", TRUE, FALSE)</formula>
    </cfRule>
    <cfRule type="expression" dxfId="248" priority="82">
      <formula>IF(OR(#REF!="부분수용", #REF!="불가"), TRUE, FALSE)</formula>
    </cfRule>
  </conditionalFormatting>
  <conditionalFormatting sqref="M10:N91 K10:K91">
    <cfRule type="expression" dxfId="247" priority="79">
      <formula>IF(#REF!="제외", TRUE, FALSE)</formula>
    </cfRule>
    <cfRule type="expression" dxfId="246" priority="80">
      <formula>IF(OR(#REF!="부분수용", #REF!="불가"), TRUE, FALSE)</formula>
    </cfRule>
  </conditionalFormatting>
  <conditionalFormatting sqref="J10:J91">
    <cfRule type="expression" dxfId="245" priority="75">
      <formula>IF(#REF!="제외", TRUE, FALSE)</formula>
    </cfRule>
    <cfRule type="expression" dxfId="244" priority="76">
      <formula>IF(OR(#REF!="부분수용", #REF!="불가"), TRUE, FALSE)</formula>
    </cfRule>
  </conditionalFormatting>
  <conditionalFormatting sqref="L10:L91">
    <cfRule type="expression" dxfId="243" priority="71">
      <formula>IF(#REF!="제외", TRUE, FALSE)</formula>
    </cfRule>
    <cfRule type="expression" dxfId="242" priority="72">
      <formula>IF(OR(#REF!="부분수용", #REF!="불가"), TRUE, FALSE)</formula>
    </cfRule>
  </conditionalFormatting>
  <conditionalFormatting sqref="P10:P91">
    <cfRule type="expression" dxfId="241" priority="69">
      <formula>IF(#REF!="제외", TRUE, FALSE)</formula>
    </cfRule>
    <cfRule type="expression" dxfId="240" priority="70">
      <formula>IF(OR(#REF!="부분수용", #REF!="불가"), TRUE, FALSE)</formula>
    </cfRule>
  </conditionalFormatting>
  <conditionalFormatting sqref="R10:R91">
    <cfRule type="expression" dxfId="239" priority="65">
      <formula>IF($J10="제외", TRUE, FALSE)</formula>
    </cfRule>
    <cfRule type="expression" dxfId="238" priority="66">
      <formula>IF(OR($J10="부분수용", $J10="불가"), TRUE, FALSE)</formula>
    </cfRule>
  </conditionalFormatting>
  <conditionalFormatting sqref="I7:Q9">
    <cfRule type="expression" dxfId="237" priority="53">
      <formula>IF($S7="제외", TRUE, FALSE)</formula>
    </cfRule>
    <cfRule type="expression" dxfId="236" priority="54">
      <formula>IF(OR($S7="부분수용", $S7="불가"), TRUE, FALSE)</formula>
    </cfRule>
  </conditionalFormatting>
  <conditionalFormatting sqref="I6:Q6">
    <cfRule type="expression" dxfId="235" priority="49">
      <formula>IF($X6="제외", TRUE, FALSE)</formula>
    </cfRule>
    <cfRule type="expression" dxfId="234" priority="50">
      <formula>IF(OR($X6="부분수용", $X6="불가"), TRUE, FALSE)</formula>
    </cfRule>
  </conditionalFormatting>
  <conditionalFormatting sqref="A7:A18">
    <cfRule type="expression" dxfId="233" priority="47">
      <formula>IF($S7="제외", TRUE, FALSE)</formula>
    </cfRule>
    <cfRule type="expression" dxfId="232" priority="48">
      <formula>IF(OR($S7="부분수용", $S7="불가"), TRUE, FALSE)</formula>
    </cfRule>
  </conditionalFormatting>
  <conditionalFormatting sqref="A6">
    <cfRule type="expression" dxfId="231" priority="45">
      <formula>IF($X6="제외", TRUE, FALSE)</formula>
    </cfRule>
    <cfRule type="expression" dxfId="230" priority="46">
      <formula>IF(OR($X6="부분수용", $X6="불가"), TRUE, FALSE)</formula>
    </cfRule>
  </conditionalFormatting>
  <conditionalFormatting sqref="F6:G7">
    <cfRule type="expression" dxfId="229" priority="35">
      <formula>IF(#REF!="제외", TRUE, FALSE)</formula>
    </cfRule>
    <cfRule type="expression" dxfId="228" priority="36">
      <formula>IF(OR(#REF!="부분수용",#REF!= "불가"), TRUE, FALSE)</formula>
    </cfRule>
  </conditionalFormatting>
  <conditionalFormatting sqref="F8:G9">
    <cfRule type="expression" dxfId="227" priority="43">
      <formula>IF($J8="제외", TRUE, FALSE)</formula>
    </cfRule>
    <cfRule type="expression" dxfId="226" priority="44">
      <formula>IF(OR($J8="부분수용", $J8="불가"), TRUE, FALSE)</formula>
    </cfRule>
  </conditionalFormatting>
  <conditionalFormatting sqref="B6:B18">
    <cfRule type="expression" dxfId="225" priority="29">
      <formula>#REF!="중복"</formula>
    </cfRule>
    <cfRule type="expression" dxfId="224" priority="30">
      <formula>#REF!="확인중"</formula>
    </cfRule>
    <cfRule type="expression" dxfId="223" priority="31">
      <formula>#REF!="제외"</formula>
    </cfRule>
    <cfRule type="expression" dxfId="222" priority="32">
      <formula>#REF!="불가"</formula>
    </cfRule>
    <cfRule type="expression" dxfId="221" priority="33">
      <formula>#REF!="부분수용"</formula>
    </cfRule>
    <cfRule type="expression" dxfId="220" priority="34">
      <formula>#REF!="수용"</formula>
    </cfRule>
  </conditionalFormatting>
  <conditionalFormatting sqref="C6:C18">
    <cfRule type="expression" dxfId="219" priority="17">
      <formula>$N6="중복"</formula>
    </cfRule>
    <cfRule type="expression" dxfId="218" priority="18">
      <formula>$N6="확인중"</formula>
    </cfRule>
    <cfRule type="expression" dxfId="217" priority="19">
      <formula>$N6="제외"</formula>
    </cfRule>
    <cfRule type="expression" dxfId="216" priority="20">
      <formula>$N6="불가"</formula>
    </cfRule>
    <cfRule type="expression" dxfId="215" priority="21">
      <formula>$N6="부분수용"</formula>
    </cfRule>
    <cfRule type="expression" dxfId="214" priority="22">
      <formula>$N6="수용"</formula>
    </cfRule>
  </conditionalFormatting>
  <conditionalFormatting sqref="E6:E7">
    <cfRule type="expression" dxfId="213" priority="23">
      <formula>#REF!="중복"</formula>
    </cfRule>
    <cfRule type="expression" dxfId="212" priority="24">
      <formula>#REF!="확인중"</formula>
    </cfRule>
    <cfRule type="expression" dxfId="211" priority="25">
      <formula>#REF!="제외"</formula>
    </cfRule>
    <cfRule type="expression" dxfId="210" priority="26">
      <formula>#REF!="불가"</formula>
    </cfRule>
    <cfRule type="expression" dxfId="209" priority="27">
      <formula>#REF!="부분수용"</formula>
    </cfRule>
    <cfRule type="expression" dxfId="208" priority="28">
      <formula>#REF!="수용"</formula>
    </cfRule>
  </conditionalFormatting>
  <conditionalFormatting sqref="E8:E9">
    <cfRule type="expression" dxfId="207" priority="37">
      <formula>$N8="중복"</formula>
    </cfRule>
    <cfRule type="expression" dxfId="206" priority="38">
      <formula>$N8="확인중"</formula>
    </cfRule>
    <cfRule type="expression" dxfId="205" priority="39">
      <formula>$N8="제외"</formula>
    </cfRule>
    <cfRule type="expression" dxfId="204" priority="40">
      <formula>$N8="불가"</formula>
    </cfRule>
    <cfRule type="expression" dxfId="203" priority="41">
      <formula>$N8="부분수용"</formula>
    </cfRule>
    <cfRule type="expression" dxfId="202" priority="42">
      <formula>$N8="수용"</formula>
    </cfRule>
  </conditionalFormatting>
  <conditionalFormatting sqref="R8:R9">
    <cfRule type="expression" dxfId="201" priority="15">
      <formula>IF($J8="제외", TRUE, FALSE)</formula>
    </cfRule>
    <cfRule type="expression" dxfId="200" priority="16">
      <formula>IF(OR($J8="부분수용", $J8="불가"), TRUE, FALSE)</formula>
    </cfRule>
  </conditionalFormatting>
  <conditionalFormatting sqref="S8:T9">
    <cfRule type="expression" dxfId="199" priority="9">
      <formula>$N8="중복"</formula>
    </cfRule>
    <cfRule type="expression" dxfId="198" priority="10">
      <formula>$N8="확인중"</formula>
    </cfRule>
    <cfRule type="expression" dxfId="197" priority="11">
      <formula>$N8="제외"</formula>
    </cfRule>
    <cfRule type="expression" dxfId="196" priority="12">
      <formula>$N8="불가"</formula>
    </cfRule>
    <cfRule type="expression" dxfId="195" priority="13">
      <formula>$N8="부분수용"</formula>
    </cfRule>
    <cfRule type="expression" dxfId="194" priority="14">
      <formula>$N8="수용"</formula>
    </cfRule>
  </conditionalFormatting>
  <conditionalFormatting sqref="R6:R7">
    <cfRule type="expression" dxfId="193" priority="7">
      <formula>IF(#REF!="제외", TRUE, FALSE)</formula>
    </cfRule>
    <cfRule type="expression" dxfId="192" priority="8">
      <formula>IF(OR(#REF!="부분수용",#REF!= "불가"), TRUE, FALSE)</formula>
    </cfRule>
  </conditionalFormatting>
  <conditionalFormatting sqref="S6:T7">
    <cfRule type="expression" dxfId="191" priority="1">
      <formula>#REF!="중복"</formula>
    </cfRule>
    <cfRule type="expression" dxfId="190" priority="2">
      <formula>#REF!="확인중"</formula>
    </cfRule>
    <cfRule type="expression" dxfId="189" priority="3">
      <formula>#REF!="제외"</formula>
    </cfRule>
    <cfRule type="expression" dxfId="188" priority="4">
      <formula>#REF!="불가"</formula>
    </cfRule>
    <cfRule type="expression" dxfId="187" priority="5">
      <formula>#REF!="부분수용"</formula>
    </cfRule>
    <cfRule type="expression" dxfId="186" priority="6">
      <formula>#REF!="수용"</formula>
    </cfRule>
  </conditionalFormatting>
  <dataValidations count="4">
    <dataValidation type="list" allowBlank="1" showInputMessage="1" showErrorMessage="1" sqref="R6:R9" xr:uid="{60B32EC4-FDE0-4D5D-A2C0-12C5A3E39D5B}">
      <formula1>"기능,비기능(품질),인터페이스,기술인프라,기타"</formula1>
    </dataValidation>
    <dataValidation type="list" allowBlank="1" showInputMessage="1" showErrorMessage="1" sqref="I6:I9" xr:uid="{B7DA65CE-CF67-491F-90B3-2F984C32B7EF}">
      <formula1>"추가,내용변경,삭제"</formula1>
    </dataValidation>
    <dataValidation type="list" allowBlank="1" showInputMessage="1" showErrorMessage="1" sqref="J6:J9" xr:uid="{58E6DE67-0963-4569-94D0-A8600BD73800}">
      <formula1>"완료,진행중"</formula1>
    </dataValidation>
    <dataValidation type="list" allowBlank="1" showInputMessage="1" showErrorMessage="1" sqref="S6:S9" xr:uid="{1E66B170-25F3-41B5-BC70-D42E9083328B}">
      <formula1>"수용,부분수용,불가,제외,확인중,중복"</formula1>
    </dataValidation>
  </dataValidations>
  <pageMargins left="0.59055118110236227" right="0.59055118110236227" top="0.78740157480314965" bottom="0.51181102362204722" header="0.51181102362204722" footer="0.31496062992125984"/>
  <pageSetup paperSize="9" scale="50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CCE8-0B3B-42D3-97A7-93990CD74886}">
  <sheetPr>
    <pageSetUpPr fitToPage="1"/>
  </sheetPr>
  <dimension ref="A1:W61"/>
  <sheetViews>
    <sheetView showGridLines="0" tabSelected="1" zoomScale="90" zoomScaleNormal="90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G59" sqref="G59"/>
    </sheetView>
  </sheetViews>
  <sheetFormatPr defaultColWidth="8.9140625" defaultRowHeight="16"/>
  <cols>
    <col min="1" max="1" width="3.4140625" style="9" customWidth="1"/>
    <col min="2" max="2" width="9.33203125" style="7" customWidth="1"/>
    <col min="3" max="3" width="14.08203125" style="9" customWidth="1"/>
    <col min="4" max="4" width="12.83203125" style="7" customWidth="1"/>
    <col min="5" max="5" width="20.83203125" style="7" customWidth="1"/>
    <col min="6" max="6" width="46.4140625" style="7" customWidth="1"/>
    <col min="7" max="8" width="28.83203125" style="8" customWidth="1"/>
    <col min="9" max="9" width="6.4140625" style="9" customWidth="1"/>
    <col min="10" max="10" width="8.1640625" style="9" customWidth="1"/>
    <col min="11" max="12" width="10.08203125" style="7" customWidth="1"/>
    <col min="13" max="13" width="6.4140625" style="7" customWidth="1"/>
    <col min="14" max="14" width="9" style="7" customWidth="1"/>
    <col min="15" max="15" width="29.9140625" style="7" customWidth="1"/>
    <col min="16" max="17" width="6.4140625" style="9" customWidth="1"/>
    <col min="18" max="18" width="3.9140625" style="9" customWidth="1"/>
    <col min="19" max="19" width="4.4140625" style="9" bestFit="1" customWidth="1"/>
    <col min="20" max="21" width="10.66406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전자결재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179</v>
      </c>
      <c r="V2" s="22" t="s">
        <v>35</v>
      </c>
      <c r="W2" s="23">
        <v>46126</v>
      </c>
    </row>
    <row r="3" spans="1:23" s="6" customFormat="1" ht="3" customHeight="1">
      <c r="A3" s="10"/>
      <c r="B3" s="13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25" customHeight="1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43.5">
      <c r="A5" s="60" t="s">
        <v>17</v>
      </c>
      <c r="B5" s="61" t="s">
        <v>39</v>
      </c>
      <c r="C5" s="62" t="s">
        <v>0</v>
      </c>
      <c r="D5" s="61" t="s">
        <v>180</v>
      </c>
      <c r="E5" s="61" t="s">
        <v>27</v>
      </c>
      <c r="F5" s="61" t="s">
        <v>28</v>
      </c>
      <c r="G5" s="61" t="s">
        <v>16</v>
      </c>
      <c r="H5" s="61" t="s">
        <v>18</v>
      </c>
      <c r="I5" s="61" t="s">
        <v>57</v>
      </c>
      <c r="J5" s="61" t="s">
        <v>66</v>
      </c>
      <c r="K5" s="61" t="s">
        <v>62</v>
      </c>
      <c r="L5" s="61" t="s">
        <v>65</v>
      </c>
      <c r="M5" s="61" t="s">
        <v>58</v>
      </c>
      <c r="N5" s="61" t="s">
        <v>64</v>
      </c>
      <c r="O5" s="61" t="s">
        <v>59</v>
      </c>
      <c r="P5" s="61" t="s">
        <v>60</v>
      </c>
      <c r="Q5" s="61" t="s">
        <v>61</v>
      </c>
      <c r="R5" s="61" t="s">
        <v>67</v>
      </c>
      <c r="S5" s="61" t="s">
        <v>19</v>
      </c>
      <c r="T5" s="61" t="s">
        <v>33</v>
      </c>
      <c r="U5" s="61" t="s">
        <v>32</v>
      </c>
      <c r="V5" s="61" t="s">
        <v>20</v>
      </c>
      <c r="W5" s="63" t="s">
        <v>21</v>
      </c>
    </row>
    <row r="6" spans="1:23" ht="43.5">
      <c r="A6" s="43">
        <f>ROW($A6)-5</f>
        <v>1</v>
      </c>
      <c r="B6" s="43" t="s">
        <v>89</v>
      </c>
      <c r="C6" s="52" t="s">
        <v>215</v>
      </c>
      <c r="D6" s="53" t="s">
        <v>90</v>
      </c>
      <c r="E6" s="54" t="s">
        <v>91</v>
      </c>
      <c r="F6" s="55" t="s">
        <v>92</v>
      </c>
      <c r="G6" s="55"/>
      <c r="H6" s="55"/>
      <c r="I6" s="24"/>
      <c r="J6" s="24"/>
      <c r="K6" s="24"/>
      <c r="L6" s="24"/>
      <c r="M6" s="24"/>
      <c r="N6" s="24"/>
      <c r="O6" s="41"/>
      <c r="P6" s="24"/>
      <c r="Q6" s="24"/>
      <c r="R6" s="43" t="s">
        <v>1</v>
      </c>
      <c r="S6" s="43" t="s">
        <v>6</v>
      </c>
      <c r="T6" s="50" t="s">
        <v>151</v>
      </c>
      <c r="U6" s="43"/>
      <c r="V6" s="41"/>
      <c r="W6" s="41"/>
    </row>
    <row r="7" spans="1:23" ht="72.5">
      <c r="A7" s="43">
        <f>ROW($A7)-5</f>
        <v>2</v>
      </c>
      <c r="B7" s="43" t="s">
        <v>89</v>
      </c>
      <c r="C7" s="52" t="s">
        <v>49</v>
      </c>
      <c r="D7" s="53" t="s">
        <v>90</v>
      </c>
      <c r="E7" s="54" t="s">
        <v>93</v>
      </c>
      <c r="F7" s="55" t="s">
        <v>214</v>
      </c>
      <c r="G7" s="56" t="s">
        <v>94</v>
      </c>
      <c r="H7" s="57" t="s">
        <v>95</v>
      </c>
      <c r="I7" s="24"/>
      <c r="J7" s="24"/>
      <c r="K7" s="24"/>
      <c r="L7" s="24"/>
      <c r="M7" s="24"/>
      <c r="N7" s="24"/>
      <c r="O7" s="41"/>
      <c r="P7" s="24"/>
      <c r="Q7" s="24"/>
      <c r="R7" s="43" t="s">
        <v>1</v>
      </c>
      <c r="S7" s="43" t="s">
        <v>6</v>
      </c>
      <c r="T7" s="58" t="s">
        <v>152</v>
      </c>
      <c r="U7" s="24" t="s">
        <v>153</v>
      </c>
      <c r="V7" s="41"/>
      <c r="W7" s="41"/>
    </row>
    <row r="8" spans="1:23" ht="43.5">
      <c r="A8" s="43">
        <v>3</v>
      </c>
      <c r="B8" s="43" t="s">
        <v>89</v>
      </c>
      <c r="C8" s="52" t="s">
        <v>216</v>
      </c>
      <c r="D8" s="53" t="s">
        <v>90</v>
      </c>
      <c r="E8" s="54" t="s">
        <v>74</v>
      </c>
      <c r="F8" s="55" t="s">
        <v>96</v>
      </c>
      <c r="G8" s="55" t="s">
        <v>97</v>
      </c>
      <c r="H8" s="54"/>
      <c r="I8" s="24"/>
      <c r="J8" s="24"/>
      <c r="K8" s="24"/>
      <c r="L8" s="24"/>
      <c r="M8" s="24"/>
      <c r="N8" s="24"/>
      <c r="O8" s="41"/>
      <c r="P8" s="24"/>
      <c r="Q8" s="24"/>
      <c r="R8" s="43" t="s">
        <v>1</v>
      </c>
      <c r="S8" s="43" t="s">
        <v>6</v>
      </c>
      <c r="T8" s="50" t="s">
        <v>154</v>
      </c>
      <c r="U8" s="43"/>
      <c r="V8" s="41"/>
      <c r="W8" s="41"/>
    </row>
    <row r="9" spans="1:23" ht="96">
      <c r="A9" s="43">
        <v>4</v>
      </c>
      <c r="B9" s="43" t="s">
        <v>89</v>
      </c>
      <c r="C9" s="52" t="s">
        <v>50</v>
      </c>
      <c r="D9" s="48" t="s">
        <v>98</v>
      </c>
      <c r="E9" s="48" t="s">
        <v>99</v>
      </c>
      <c r="F9" s="48" t="s">
        <v>99</v>
      </c>
      <c r="G9" s="48" t="s">
        <v>100</v>
      </c>
      <c r="H9" s="48" t="s">
        <v>101</v>
      </c>
      <c r="I9" s="24"/>
      <c r="J9" s="24"/>
      <c r="K9" s="24"/>
      <c r="L9" s="24"/>
      <c r="M9" s="24"/>
      <c r="N9" s="24"/>
      <c r="O9" s="41"/>
      <c r="P9" s="24"/>
      <c r="Q9" s="24"/>
      <c r="R9" s="59" t="s">
        <v>155</v>
      </c>
      <c r="S9" s="59" t="s">
        <v>156</v>
      </c>
      <c r="T9" s="48" t="s">
        <v>153</v>
      </c>
      <c r="U9" s="48"/>
      <c r="V9" s="41"/>
      <c r="W9" s="41"/>
    </row>
    <row r="10" spans="1:23" ht="96">
      <c r="A10" s="43">
        <v>5</v>
      </c>
      <c r="B10" s="43" t="s">
        <v>89</v>
      </c>
      <c r="C10" s="52" t="s">
        <v>51</v>
      </c>
      <c r="D10" s="48" t="s">
        <v>102</v>
      </c>
      <c r="E10" s="48" t="s">
        <v>99</v>
      </c>
      <c r="F10" s="48" t="s">
        <v>99</v>
      </c>
      <c r="G10" s="48" t="s">
        <v>100</v>
      </c>
      <c r="H10" s="48" t="s">
        <v>101</v>
      </c>
      <c r="I10" s="24"/>
      <c r="J10" s="24"/>
      <c r="K10" s="24"/>
      <c r="L10" s="24"/>
      <c r="M10" s="24"/>
      <c r="N10" s="24"/>
      <c r="O10" s="41"/>
      <c r="P10" s="24"/>
      <c r="Q10" s="24"/>
      <c r="R10" s="59" t="s">
        <v>155</v>
      </c>
      <c r="S10" s="59" t="s">
        <v>156</v>
      </c>
      <c r="T10" s="48" t="s">
        <v>153</v>
      </c>
      <c r="U10" s="48"/>
      <c r="V10" s="41"/>
      <c r="W10" s="41"/>
    </row>
    <row r="11" spans="1:23" ht="96">
      <c r="A11" s="43">
        <v>6</v>
      </c>
      <c r="B11" s="43" t="s">
        <v>89</v>
      </c>
      <c r="C11" s="52" t="s">
        <v>103</v>
      </c>
      <c r="D11" s="48" t="s">
        <v>104</v>
      </c>
      <c r="E11" s="48" t="s">
        <v>99</v>
      </c>
      <c r="F11" s="48" t="s">
        <v>99</v>
      </c>
      <c r="G11" s="48" t="s">
        <v>100</v>
      </c>
      <c r="H11" s="48" t="s">
        <v>101</v>
      </c>
      <c r="I11" s="59"/>
      <c r="J11" s="59"/>
      <c r="K11" s="48"/>
      <c r="L11" s="48"/>
      <c r="M11" s="48"/>
      <c r="N11" s="48"/>
      <c r="O11" s="48"/>
      <c r="P11" s="59"/>
      <c r="Q11" s="59"/>
      <c r="R11" s="59" t="s">
        <v>155</v>
      </c>
      <c r="S11" s="59" t="s">
        <v>156</v>
      </c>
      <c r="T11" s="48" t="s">
        <v>153</v>
      </c>
      <c r="U11" s="48"/>
      <c r="V11" s="59"/>
      <c r="W11" s="48"/>
    </row>
    <row r="12" spans="1:23" ht="96">
      <c r="A12" s="43">
        <v>7</v>
      </c>
      <c r="B12" s="43" t="s">
        <v>89</v>
      </c>
      <c r="C12" s="52" t="s">
        <v>105</v>
      </c>
      <c r="D12" s="48" t="s">
        <v>106</v>
      </c>
      <c r="E12" s="48" t="s">
        <v>99</v>
      </c>
      <c r="F12" s="48" t="s">
        <v>99</v>
      </c>
      <c r="G12" s="48" t="s">
        <v>100</v>
      </c>
      <c r="H12" s="48" t="s">
        <v>101</v>
      </c>
      <c r="I12" s="59"/>
      <c r="J12" s="59"/>
      <c r="K12" s="48"/>
      <c r="L12" s="48"/>
      <c r="M12" s="48"/>
      <c r="N12" s="48"/>
      <c r="O12" s="48"/>
      <c r="P12" s="59"/>
      <c r="Q12" s="59"/>
      <c r="R12" s="59" t="s">
        <v>155</v>
      </c>
      <c r="S12" s="59" t="s">
        <v>156</v>
      </c>
      <c r="T12" s="48" t="s">
        <v>153</v>
      </c>
      <c r="U12" s="48"/>
      <c r="V12" s="59"/>
      <c r="W12" s="48"/>
    </row>
    <row r="13" spans="1:23" ht="96">
      <c r="A13" s="43">
        <v>8</v>
      </c>
      <c r="B13" s="43" t="s">
        <v>89</v>
      </c>
      <c r="C13" s="52" t="s">
        <v>107</v>
      </c>
      <c r="D13" s="47" t="s">
        <v>108</v>
      </c>
      <c r="E13" s="48" t="s">
        <v>99</v>
      </c>
      <c r="F13" s="48" t="s">
        <v>99</v>
      </c>
      <c r="G13" s="48" t="s">
        <v>100</v>
      </c>
      <c r="H13" s="48" t="s">
        <v>101</v>
      </c>
      <c r="I13" s="59"/>
      <c r="J13" s="59"/>
      <c r="K13" s="48"/>
      <c r="L13" s="48"/>
      <c r="M13" s="48"/>
      <c r="N13" s="48"/>
      <c r="O13" s="48"/>
      <c r="P13" s="59"/>
      <c r="Q13" s="59"/>
      <c r="R13" s="59" t="s">
        <v>155</v>
      </c>
      <c r="S13" s="59" t="s">
        <v>156</v>
      </c>
      <c r="T13" s="48" t="s">
        <v>153</v>
      </c>
      <c r="U13" s="48"/>
      <c r="V13" s="59"/>
      <c r="W13" s="48"/>
    </row>
    <row r="14" spans="1:23" ht="96">
      <c r="A14" s="43">
        <v>9</v>
      </c>
      <c r="B14" s="43" t="s">
        <v>89</v>
      </c>
      <c r="C14" s="52" t="s">
        <v>109</v>
      </c>
      <c r="D14" s="47" t="s">
        <v>110</v>
      </c>
      <c r="E14" s="48" t="s">
        <v>99</v>
      </c>
      <c r="F14" s="48" t="s">
        <v>99</v>
      </c>
      <c r="G14" s="48" t="s">
        <v>100</v>
      </c>
      <c r="H14" s="48" t="s">
        <v>101</v>
      </c>
      <c r="I14" s="59"/>
      <c r="J14" s="59"/>
      <c r="K14" s="48"/>
      <c r="L14" s="48"/>
      <c r="M14" s="48"/>
      <c r="N14" s="48"/>
      <c r="O14" s="48"/>
      <c r="P14" s="59"/>
      <c r="Q14" s="59"/>
      <c r="R14" s="59" t="s">
        <v>155</v>
      </c>
      <c r="S14" s="59" t="s">
        <v>156</v>
      </c>
      <c r="T14" s="48" t="s">
        <v>153</v>
      </c>
      <c r="U14" s="48"/>
      <c r="V14" s="59"/>
      <c r="W14" s="48"/>
    </row>
    <row r="15" spans="1:23" ht="96">
      <c r="A15" s="43">
        <v>10</v>
      </c>
      <c r="B15" s="43" t="s">
        <v>89</v>
      </c>
      <c r="C15" s="52" t="s">
        <v>111</v>
      </c>
      <c r="D15" s="47" t="s">
        <v>112</v>
      </c>
      <c r="E15" s="48" t="s">
        <v>99</v>
      </c>
      <c r="F15" s="48" t="s">
        <v>99</v>
      </c>
      <c r="G15" s="48" t="s">
        <v>100</v>
      </c>
      <c r="H15" s="48" t="s">
        <v>101</v>
      </c>
      <c r="I15" s="59"/>
      <c r="J15" s="59"/>
      <c r="K15" s="48"/>
      <c r="L15" s="48"/>
      <c r="M15" s="48"/>
      <c r="N15" s="48"/>
      <c r="O15" s="48"/>
      <c r="P15" s="59"/>
      <c r="Q15" s="59"/>
      <c r="R15" s="59" t="s">
        <v>155</v>
      </c>
      <c r="S15" s="59" t="s">
        <v>156</v>
      </c>
      <c r="T15" s="48" t="s">
        <v>153</v>
      </c>
      <c r="U15" s="48"/>
      <c r="V15" s="59"/>
      <c r="W15" s="48"/>
    </row>
    <row r="16" spans="1:23" ht="96">
      <c r="A16" s="43">
        <v>11</v>
      </c>
      <c r="B16" s="43" t="s">
        <v>89</v>
      </c>
      <c r="C16" s="52" t="s">
        <v>113</v>
      </c>
      <c r="D16" s="47" t="s">
        <v>114</v>
      </c>
      <c r="E16" s="48" t="s">
        <v>99</v>
      </c>
      <c r="F16" s="48" t="s">
        <v>99</v>
      </c>
      <c r="G16" s="48" t="s">
        <v>100</v>
      </c>
      <c r="H16" s="48" t="s">
        <v>101</v>
      </c>
      <c r="I16" s="59"/>
      <c r="J16" s="59"/>
      <c r="K16" s="48"/>
      <c r="L16" s="48"/>
      <c r="M16" s="48"/>
      <c r="N16" s="48"/>
      <c r="O16" s="48"/>
      <c r="P16" s="59"/>
      <c r="Q16" s="59"/>
      <c r="R16" s="59" t="s">
        <v>155</v>
      </c>
      <c r="S16" s="59" t="s">
        <v>156</v>
      </c>
      <c r="T16" s="48" t="s">
        <v>153</v>
      </c>
      <c r="U16" s="48"/>
      <c r="V16" s="59"/>
      <c r="W16" s="48"/>
    </row>
    <row r="17" spans="1:23" ht="96">
      <c r="A17" s="43">
        <v>12</v>
      </c>
      <c r="B17" s="43" t="s">
        <v>89</v>
      </c>
      <c r="C17" s="52" t="s">
        <v>115</v>
      </c>
      <c r="D17" s="47" t="s">
        <v>116</v>
      </c>
      <c r="E17" s="48" t="s">
        <v>99</v>
      </c>
      <c r="F17" s="48" t="s">
        <v>99</v>
      </c>
      <c r="G17" s="48" t="s">
        <v>100</v>
      </c>
      <c r="H17" s="48" t="s">
        <v>101</v>
      </c>
      <c r="I17" s="59"/>
      <c r="J17" s="59"/>
      <c r="K17" s="48"/>
      <c r="L17" s="48"/>
      <c r="M17" s="48"/>
      <c r="N17" s="48"/>
      <c r="O17" s="48"/>
      <c r="P17" s="59"/>
      <c r="Q17" s="59"/>
      <c r="R17" s="59" t="s">
        <v>155</v>
      </c>
      <c r="S17" s="59" t="s">
        <v>156</v>
      </c>
      <c r="T17" s="48" t="s">
        <v>153</v>
      </c>
      <c r="U17" s="48"/>
      <c r="V17" s="59"/>
      <c r="W17" s="48"/>
    </row>
    <row r="18" spans="1:23" ht="96">
      <c r="A18" s="43">
        <v>13</v>
      </c>
      <c r="B18" s="43" t="s">
        <v>89</v>
      </c>
      <c r="C18" s="52" t="s">
        <v>117</v>
      </c>
      <c r="D18" s="47" t="s">
        <v>118</v>
      </c>
      <c r="E18" s="48" t="s">
        <v>99</v>
      </c>
      <c r="F18" s="48" t="s">
        <v>99</v>
      </c>
      <c r="G18" s="48" t="s">
        <v>100</v>
      </c>
      <c r="H18" s="48" t="s">
        <v>101</v>
      </c>
      <c r="I18" s="59"/>
      <c r="J18" s="59"/>
      <c r="K18" s="48"/>
      <c r="L18" s="48"/>
      <c r="M18" s="48"/>
      <c r="N18" s="48"/>
      <c r="O18" s="48"/>
      <c r="P18" s="59"/>
      <c r="Q18" s="59"/>
      <c r="R18" s="59" t="s">
        <v>155</v>
      </c>
      <c r="S18" s="59" t="s">
        <v>156</v>
      </c>
      <c r="T18" s="48" t="s">
        <v>153</v>
      </c>
      <c r="U18" s="48"/>
      <c r="V18" s="59"/>
      <c r="W18" s="48"/>
    </row>
    <row r="19" spans="1:23" ht="96">
      <c r="A19" s="43">
        <v>14</v>
      </c>
      <c r="B19" s="43" t="s">
        <v>89</v>
      </c>
      <c r="C19" s="52" t="s">
        <v>119</v>
      </c>
      <c r="D19" s="47" t="s">
        <v>120</v>
      </c>
      <c r="E19" s="48" t="s">
        <v>99</v>
      </c>
      <c r="F19" s="48" t="s">
        <v>99</v>
      </c>
      <c r="G19" s="48" t="s">
        <v>100</v>
      </c>
      <c r="H19" s="48" t="s">
        <v>101</v>
      </c>
      <c r="I19" s="59"/>
      <c r="J19" s="59"/>
      <c r="K19" s="47"/>
      <c r="L19" s="47"/>
      <c r="M19" s="47"/>
      <c r="N19" s="47"/>
      <c r="O19" s="47"/>
      <c r="P19" s="59"/>
      <c r="Q19" s="59"/>
      <c r="R19" s="59" t="s">
        <v>155</v>
      </c>
      <c r="S19" s="59" t="s">
        <v>156</v>
      </c>
      <c r="T19" s="48" t="s">
        <v>153</v>
      </c>
      <c r="U19" s="48"/>
      <c r="V19" s="59"/>
      <c r="W19" s="47"/>
    </row>
    <row r="20" spans="1:23" ht="96">
      <c r="A20" s="43">
        <v>15</v>
      </c>
      <c r="B20" s="43" t="s">
        <v>89</v>
      </c>
      <c r="C20" s="52" t="s">
        <v>121</v>
      </c>
      <c r="D20" s="47" t="s">
        <v>122</v>
      </c>
      <c r="E20" s="48" t="s">
        <v>99</v>
      </c>
      <c r="F20" s="48" t="s">
        <v>99</v>
      </c>
      <c r="G20" s="48" t="s">
        <v>100</v>
      </c>
      <c r="H20" s="48" t="s">
        <v>101</v>
      </c>
      <c r="I20" s="59"/>
      <c r="J20" s="59"/>
      <c r="K20" s="47"/>
      <c r="L20" s="47"/>
      <c r="M20" s="47"/>
      <c r="N20" s="47"/>
      <c r="O20" s="47"/>
      <c r="P20" s="59"/>
      <c r="Q20" s="59"/>
      <c r="R20" s="59" t="s">
        <v>155</v>
      </c>
      <c r="S20" s="59" t="s">
        <v>156</v>
      </c>
      <c r="T20" s="48" t="s">
        <v>153</v>
      </c>
      <c r="U20" s="48"/>
      <c r="V20" s="59"/>
      <c r="W20" s="47"/>
    </row>
    <row r="21" spans="1:23" ht="96">
      <c r="A21" s="43">
        <v>16</v>
      </c>
      <c r="B21" s="43" t="s">
        <v>89</v>
      </c>
      <c r="C21" s="52" t="s">
        <v>123</v>
      </c>
      <c r="D21" s="47" t="s">
        <v>124</v>
      </c>
      <c r="E21" s="48" t="s">
        <v>99</v>
      </c>
      <c r="F21" s="48" t="s">
        <v>99</v>
      </c>
      <c r="G21" s="48" t="s">
        <v>100</v>
      </c>
      <c r="H21" s="48" t="s">
        <v>101</v>
      </c>
      <c r="I21" s="59"/>
      <c r="J21" s="59"/>
      <c r="K21" s="47"/>
      <c r="L21" s="47"/>
      <c r="M21" s="47"/>
      <c r="N21" s="47"/>
      <c r="O21" s="47"/>
      <c r="P21" s="59"/>
      <c r="Q21" s="59"/>
      <c r="R21" s="59" t="s">
        <v>155</v>
      </c>
      <c r="S21" s="59" t="s">
        <v>156</v>
      </c>
      <c r="T21" s="48" t="s">
        <v>153</v>
      </c>
      <c r="U21" s="48"/>
      <c r="V21" s="59"/>
      <c r="W21" s="47"/>
    </row>
    <row r="22" spans="1:23" ht="96">
      <c r="A22" s="43">
        <v>17</v>
      </c>
      <c r="B22" s="43" t="s">
        <v>89</v>
      </c>
      <c r="C22" s="52" t="s">
        <v>125</v>
      </c>
      <c r="D22" s="47" t="s">
        <v>126</v>
      </c>
      <c r="E22" s="48" t="s">
        <v>99</v>
      </c>
      <c r="F22" s="48" t="s">
        <v>99</v>
      </c>
      <c r="G22" s="48" t="s">
        <v>100</v>
      </c>
      <c r="H22" s="48" t="s">
        <v>101</v>
      </c>
      <c r="I22" s="59"/>
      <c r="J22" s="59"/>
      <c r="K22" s="47"/>
      <c r="L22" s="47"/>
      <c r="M22" s="47"/>
      <c r="N22" s="47"/>
      <c r="O22" s="47"/>
      <c r="P22" s="59"/>
      <c r="Q22" s="59"/>
      <c r="R22" s="59" t="s">
        <v>155</v>
      </c>
      <c r="S22" s="59" t="s">
        <v>156</v>
      </c>
      <c r="T22" s="48" t="s">
        <v>153</v>
      </c>
      <c r="U22" s="48"/>
      <c r="V22" s="59"/>
      <c r="W22" s="47"/>
    </row>
    <row r="23" spans="1:23" ht="96">
      <c r="A23" s="43">
        <v>18</v>
      </c>
      <c r="B23" s="43" t="s">
        <v>89</v>
      </c>
      <c r="C23" s="52" t="s">
        <v>127</v>
      </c>
      <c r="D23" s="47" t="s">
        <v>128</v>
      </c>
      <c r="E23" s="48" t="s">
        <v>99</v>
      </c>
      <c r="F23" s="48" t="s">
        <v>99</v>
      </c>
      <c r="G23" s="48" t="s">
        <v>100</v>
      </c>
      <c r="H23" s="48" t="s">
        <v>101</v>
      </c>
      <c r="I23" s="59"/>
      <c r="J23" s="59"/>
      <c r="K23" s="47"/>
      <c r="L23" s="47"/>
      <c r="M23" s="47"/>
      <c r="N23" s="47"/>
      <c r="O23" s="47"/>
      <c r="P23" s="59"/>
      <c r="Q23" s="59"/>
      <c r="R23" s="59" t="s">
        <v>155</v>
      </c>
      <c r="S23" s="59" t="s">
        <v>156</v>
      </c>
      <c r="T23" s="48" t="s">
        <v>153</v>
      </c>
      <c r="U23" s="48"/>
      <c r="V23" s="59"/>
      <c r="W23" s="47"/>
    </row>
    <row r="24" spans="1:23" ht="96">
      <c r="A24" s="43">
        <v>19</v>
      </c>
      <c r="B24" s="43" t="s">
        <v>89</v>
      </c>
      <c r="C24" s="52" t="s">
        <v>129</v>
      </c>
      <c r="D24" s="47" t="s">
        <v>130</v>
      </c>
      <c r="E24" s="48" t="s">
        <v>99</v>
      </c>
      <c r="F24" s="48" t="s">
        <v>99</v>
      </c>
      <c r="G24" s="48" t="s">
        <v>100</v>
      </c>
      <c r="H24" s="48" t="s">
        <v>101</v>
      </c>
      <c r="I24" s="59"/>
      <c r="J24" s="59"/>
      <c r="K24" s="47"/>
      <c r="L24" s="47"/>
      <c r="M24" s="47"/>
      <c r="N24" s="47"/>
      <c r="O24" s="47"/>
      <c r="P24" s="59"/>
      <c r="Q24" s="59"/>
      <c r="R24" s="59" t="s">
        <v>155</v>
      </c>
      <c r="S24" s="59" t="s">
        <v>156</v>
      </c>
      <c r="T24" s="48" t="s">
        <v>153</v>
      </c>
      <c r="U24" s="48"/>
      <c r="V24" s="59"/>
      <c r="W24" s="47"/>
    </row>
    <row r="25" spans="1:23" ht="96">
      <c r="A25" s="43">
        <v>20</v>
      </c>
      <c r="B25" s="43" t="s">
        <v>89</v>
      </c>
      <c r="C25" s="52" t="s">
        <v>131</v>
      </c>
      <c r="D25" s="47" t="s">
        <v>132</v>
      </c>
      <c r="E25" s="48" t="s">
        <v>99</v>
      </c>
      <c r="F25" s="48" t="s">
        <v>99</v>
      </c>
      <c r="G25" s="48" t="s">
        <v>100</v>
      </c>
      <c r="H25" s="48" t="s">
        <v>101</v>
      </c>
      <c r="I25" s="59"/>
      <c r="J25" s="59"/>
      <c r="K25" s="47"/>
      <c r="L25" s="47"/>
      <c r="M25" s="47"/>
      <c r="N25" s="47"/>
      <c r="O25" s="47"/>
      <c r="P25" s="59"/>
      <c r="Q25" s="59"/>
      <c r="R25" s="59" t="s">
        <v>155</v>
      </c>
      <c r="S25" s="59" t="s">
        <v>156</v>
      </c>
      <c r="T25" s="48" t="s">
        <v>153</v>
      </c>
      <c r="U25" s="48"/>
      <c r="V25" s="59"/>
      <c r="W25" s="47"/>
    </row>
    <row r="26" spans="1:23" ht="96">
      <c r="A26" s="43">
        <v>21</v>
      </c>
      <c r="B26" s="43" t="s">
        <v>89</v>
      </c>
      <c r="C26" s="52" t="s">
        <v>133</v>
      </c>
      <c r="D26" s="47" t="s">
        <v>134</v>
      </c>
      <c r="E26" s="48" t="s">
        <v>99</v>
      </c>
      <c r="F26" s="48" t="s">
        <v>99</v>
      </c>
      <c r="G26" s="48" t="s">
        <v>100</v>
      </c>
      <c r="H26" s="48" t="s">
        <v>101</v>
      </c>
      <c r="I26" s="59"/>
      <c r="J26" s="59"/>
      <c r="K26" s="47"/>
      <c r="L26" s="47"/>
      <c r="M26" s="47"/>
      <c r="N26" s="47"/>
      <c r="O26" s="47"/>
      <c r="P26" s="59"/>
      <c r="Q26" s="59"/>
      <c r="R26" s="59" t="s">
        <v>155</v>
      </c>
      <c r="S26" s="59" t="s">
        <v>156</v>
      </c>
      <c r="T26" s="48" t="s">
        <v>153</v>
      </c>
      <c r="U26" s="48"/>
      <c r="V26" s="59"/>
      <c r="W26" s="47"/>
    </row>
    <row r="27" spans="1:23" ht="96">
      <c r="A27" s="43">
        <v>22</v>
      </c>
      <c r="B27" s="43" t="s">
        <v>89</v>
      </c>
      <c r="C27" s="52" t="s">
        <v>135</v>
      </c>
      <c r="D27" s="47" t="s">
        <v>136</v>
      </c>
      <c r="E27" s="48" t="s">
        <v>99</v>
      </c>
      <c r="F27" s="48" t="s">
        <v>99</v>
      </c>
      <c r="G27" s="48" t="s">
        <v>100</v>
      </c>
      <c r="H27" s="48" t="s">
        <v>101</v>
      </c>
      <c r="I27" s="59"/>
      <c r="J27" s="59"/>
      <c r="K27" s="47"/>
      <c r="L27" s="47"/>
      <c r="M27" s="47"/>
      <c r="N27" s="47"/>
      <c r="O27" s="47"/>
      <c r="P27" s="59"/>
      <c r="Q27" s="59"/>
      <c r="R27" s="59" t="s">
        <v>155</v>
      </c>
      <c r="S27" s="59" t="s">
        <v>156</v>
      </c>
      <c r="T27" s="48" t="s">
        <v>153</v>
      </c>
      <c r="U27" s="48"/>
      <c r="V27" s="59"/>
      <c r="W27" s="47"/>
    </row>
    <row r="28" spans="1:23" ht="96">
      <c r="A28" s="43">
        <v>23</v>
      </c>
      <c r="B28" s="43" t="s">
        <v>89</v>
      </c>
      <c r="C28" s="52" t="s">
        <v>137</v>
      </c>
      <c r="D28" s="47" t="s">
        <v>138</v>
      </c>
      <c r="E28" s="48" t="s">
        <v>99</v>
      </c>
      <c r="F28" s="48" t="s">
        <v>99</v>
      </c>
      <c r="G28" s="48" t="s">
        <v>100</v>
      </c>
      <c r="H28" s="48" t="s">
        <v>101</v>
      </c>
      <c r="I28" s="59"/>
      <c r="J28" s="59"/>
      <c r="K28" s="47"/>
      <c r="L28" s="47"/>
      <c r="M28" s="47"/>
      <c r="N28" s="47"/>
      <c r="O28" s="47"/>
      <c r="P28" s="59"/>
      <c r="Q28" s="59"/>
      <c r="R28" s="59" t="s">
        <v>155</v>
      </c>
      <c r="S28" s="59" t="s">
        <v>156</v>
      </c>
      <c r="T28" s="48" t="s">
        <v>153</v>
      </c>
      <c r="U28" s="48"/>
      <c r="V28" s="59"/>
      <c r="W28" s="47"/>
    </row>
    <row r="29" spans="1:23" ht="96">
      <c r="A29" s="43">
        <v>24</v>
      </c>
      <c r="B29" s="43" t="s">
        <v>89</v>
      </c>
      <c r="C29" s="52" t="s">
        <v>139</v>
      </c>
      <c r="D29" s="47" t="s">
        <v>140</v>
      </c>
      <c r="E29" s="48" t="s">
        <v>99</v>
      </c>
      <c r="F29" s="48" t="s">
        <v>99</v>
      </c>
      <c r="G29" s="48" t="s">
        <v>100</v>
      </c>
      <c r="H29" s="48" t="s">
        <v>101</v>
      </c>
      <c r="I29" s="59"/>
      <c r="J29" s="59"/>
      <c r="K29" s="47"/>
      <c r="L29" s="47"/>
      <c r="M29" s="47"/>
      <c r="N29" s="47"/>
      <c r="O29" s="47"/>
      <c r="P29" s="59"/>
      <c r="Q29" s="59"/>
      <c r="R29" s="59" t="s">
        <v>155</v>
      </c>
      <c r="S29" s="59" t="s">
        <v>156</v>
      </c>
      <c r="T29" s="48" t="s">
        <v>153</v>
      </c>
      <c r="U29" s="48"/>
      <c r="V29" s="59"/>
      <c r="W29" s="47"/>
    </row>
    <row r="30" spans="1:23" ht="96">
      <c r="A30" s="43">
        <v>25</v>
      </c>
      <c r="B30" s="43" t="s">
        <v>89</v>
      </c>
      <c r="C30" s="52" t="s">
        <v>141</v>
      </c>
      <c r="D30" s="47" t="s">
        <v>142</v>
      </c>
      <c r="E30" s="48" t="s">
        <v>99</v>
      </c>
      <c r="F30" s="48" t="s">
        <v>99</v>
      </c>
      <c r="G30" s="48" t="s">
        <v>100</v>
      </c>
      <c r="H30" s="48" t="s">
        <v>101</v>
      </c>
      <c r="I30" s="59"/>
      <c r="J30" s="59"/>
      <c r="K30" s="47"/>
      <c r="L30" s="47"/>
      <c r="M30" s="47"/>
      <c r="N30" s="47"/>
      <c r="O30" s="47"/>
      <c r="P30" s="59"/>
      <c r="Q30" s="59"/>
      <c r="R30" s="59" t="s">
        <v>155</v>
      </c>
      <c r="S30" s="59" t="s">
        <v>156</v>
      </c>
      <c r="T30" s="48" t="s">
        <v>153</v>
      </c>
      <c r="U30" s="48"/>
      <c r="V30" s="59"/>
      <c r="W30" s="47"/>
    </row>
    <row r="31" spans="1:23" ht="96">
      <c r="A31" s="43">
        <v>26</v>
      </c>
      <c r="B31" s="43" t="s">
        <v>89</v>
      </c>
      <c r="C31" s="52" t="s">
        <v>143</v>
      </c>
      <c r="D31" s="47" t="s">
        <v>144</v>
      </c>
      <c r="E31" s="48" t="s">
        <v>99</v>
      </c>
      <c r="F31" s="48" t="s">
        <v>99</v>
      </c>
      <c r="G31" s="48" t="s">
        <v>100</v>
      </c>
      <c r="H31" s="48" t="s">
        <v>101</v>
      </c>
      <c r="I31" s="59"/>
      <c r="J31" s="59"/>
      <c r="K31" s="47"/>
      <c r="L31" s="47"/>
      <c r="M31" s="47"/>
      <c r="N31" s="47"/>
      <c r="O31" s="47"/>
      <c r="P31" s="59"/>
      <c r="Q31" s="59"/>
      <c r="R31" s="59" t="s">
        <v>155</v>
      </c>
      <c r="S31" s="59" t="s">
        <v>156</v>
      </c>
      <c r="T31" s="48" t="s">
        <v>153</v>
      </c>
      <c r="U31" s="48"/>
      <c r="V31" s="59"/>
      <c r="W31" s="47"/>
    </row>
    <row r="32" spans="1:23" ht="96">
      <c r="A32" s="43">
        <v>27</v>
      </c>
      <c r="B32" s="43" t="s">
        <v>89</v>
      </c>
      <c r="C32" s="52" t="s">
        <v>145</v>
      </c>
      <c r="D32" s="47" t="s">
        <v>146</v>
      </c>
      <c r="E32" s="48" t="s">
        <v>99</v>
      </c>
      <c r="F32" s="48" t="s">
        <v>99</v>
      </c>
      <c r="G32" s="48" t="s">
        <v>100</v>
      </c>
      <c r="H32" s="48" t="s">
        <v>101</v>
      </c>
      <c r="I32" s="59"/>
      <c r="J32" s="59"/>
      <c r="K32" s="47"/>
      <c r="L32" s="47"/>
      <c r="M32" s="47"/>
      <c r="N32" s="47"/>
      <c r="O32" s="47"/>
      <c r="P32" s="59"/>
      <c r="Q32" s="59"/>
      <c r="R32" s="59" t="s">
        <v>155</v>
      </c>
      <c r="S32" s="59" t="s">
        <v>156</v>
      </c>
      <c r="T32" s="48" t="s">
        <v>153</v>
      </c>
      <c r="U32" s="48"/>
      <c r="V32" s="59"/>
      <c r="W32" s="47"/>
    </row>
    <row r="33" spans="1:23" ht="96">
      <c r="A33" s="43">
        <v>28</v>
      </c>
      <c r="B33" s="43" t="s">
        <v>89</v>
      </c>
      <c r="C33" s="52" t="s">
        <v>147</v>
      </c>
      <c r="D33" s="47" t="s">
        <v>148</v>
      </c>
      <c r="E33" s="48" t="s">
        <v>99</v>
      </c>
      <c r="F33" s="48" t="s">
        <v>99</v>
      </c>
      <c r="G33" s="48" t="s">
        <v>100</v>
      </c>
      <c r="H33" s="48" t="s">
        <v>101</v>
      </c>
      <c r="I33" s="59"/>
      <c r="J33" s="59"/>
      <c r="K33" s="47"/>
      <c r="L33" s="47"/>
      <c r="M33" s="47"/>
      <c r="N33" s="47"/>
      <c r="O33" s="47"/>
      <c r="P33" s="59"/>
      <c r="Q33" s="59"/>
      <c r="R33" s="59" t="s">
        <v>155</v>
      </c>
      <c r="S33" s="59" t="s">
        <v>156</v>
      </c>
      <c r="T33" s="48" t="s">
        <v>153</v>
      </c>
      <c r="U33" s="48"/>
      <c r="V33" s="59"/>
      <c r="W33" s="47"/>
    </row>
    <row r="34" spans="1:23" ht="96">
      <c r="A34" s="43">
        <v>29</v>
      </c>
      <c r="B34" s="43" t="s">
        <v>89</v>
      </c>
      <c r="C34" s="52" t="s">
        <v>149</v>
      </c>
      <c r="D34" s="47" t="s">
        <v>150</v>
      </c>
      <c r="E34" s="48" t="s">
        <v>99</v>
      </c>
      <c r="F34" s="48" t="s">
        <v>99</v>
      </c>
      <c r="G34" s="48" t="s">
        <v>100</v>
      </c>
      <c r="H34" s="48" t="s">
        <v>101</v>
      </c>
      <c r="I34" s="59"/>
      <c r="J34" s="59"/>
      <c r="K34" s="47"/>
      <c r="L34" s="47"/>
      <c r="M34" s="47"/>
      <c r="N34" s="47"/>
      <c r="O34" s="47"/>
      <c r="P34" s="59"/>
      <c r="Q34" s="59"/>
      <c r="R34" s="59" t="s">
        <v>155</v>
      </c>
      <c r="S34" s="59" t="s">
        <v>156</v>
      </c>
      <c r="T34" s="48" t="s">
        <v>153</v>
      </c>
      <c r="U34" s="48"/>
      <c r="V34" s="59"/>
      <c r="W34" s="47"/>
    </row>
    <row r="35" spans="1:23" ht="32">
      <c r="A35" s="43">
        <v>30</v>
      </c>
      <c r="B35" s="44" t="s">
        <v>211</v>
      </c>
      <c r="C35" s="52" t="s">
        <v>212</v>
      </c>
      <c r="D35" s="48" t="s">
        <v>213</v>
      </c>
      <c r="E35" s="48" t="s">
        <v>219</v>
      </c>
      <c r="F35" s="48" t="s">
        <v>217</v>
      </c>
      <c r="G35" s="48"/>
      <c r="H35" s="48"/>
      <c r="I35" s="59"/>
      <c r="J35" s="59"/>
      <c r="K35" s="47"/>
      <c r="L35" s="47"/>
      <c r="M35" s="47"/>
      <c r="N35" s="47"/>
      <c r="O35" s="47"/>
      <c r="P35" s="59"/>
      <c r="Q35" s="59"/>
      <c r="R35" s="59"/>
      <c r="S35" s="59"/>
      <c r="T35" s="47"/>
      <c r="U35" s="47"/>
      <c r="V35" s="59"/>
      <c r="W35" s="47"/>
    </row>
    <row r="36" spans="1:23" ht="32">
      <c r="A36" s="43">
        <v>31</v>
      </c>
      <c r="B36" s="44" t="s">
        <v>211</v>
      </c>
      <c r="C36" s="52" t="s">
        <v>244</v>
      </c>
      <c r="D36" s="48" t="s">
        <v>213</v>
      </c>
      <c r="E36" s="48" t="s">
        <v>218</v>
      </c>
      <c r="F36" s="48" t="s">
        <v>275</v>
      </c>
      <c r="G36" s="48"/>
      <c r="H36" s="48"/>
      <c r="I36" s="59"/>
      <c r="J36" s="59"/>
      <c r="K36" s="47"/>
      <c r="L36" s="47"/>
      <c r="M36" s="47"/>
      <c r="N36" s="47"/>
      <c r="O36" s="47"/>
      <c r="P36" s="59"/>
      <c r="Q36" s="59"/>
      <c r="R36" s="59"/>
      <c r="S36" s="59"/>
      <c r="T36" s="47"/>
      <c r="U36" s="47"/>
      <c r="V36" s="59"/>
      <c r="W36" s="47"/>
    </row>
    <row r="37" spans="1:23" ht="32">
      <c r="A37" s="43">
        <v>32</v>
      </c>
      <c r="B37" s="44" t="s">
        <v>211</v>
      </c>
      <c r="C37" s="52" t="s">
        <v>220</v>
      </c>
      <c r="D37" s="48" t="s">
        <v>213</v>
      </c>
      <c r="E37" s="48" t="s">
        <v>218</v>
      </c>
      <c r="F37" s="48" t="s">
        <v>276</v>
      </c>
      <c r="G37" s="48"/>
      <c r="H37" s="48"/>
      <c r="I37" s="59"/>
      <c r="J37" s="59"/>
      <c r="K37" s="47"/>
      <c r="L37" s="47"/>
      <c r="M37" s="47"/>
      <c r="N37" s="47"/>
      <c r="O37" s="47"/>
      <c r="P37" s="59"/>
      <c r="Q37" s="59"/>
      <c r="R37" s="59"/>
      <c r="S37" s="59"/>
      <c r="T37" s="47"/>
      <c r="U37" s="47"/>
      <c r="V37" s="59"/>
      <c r="W37" s="47"/>
    </row>
    <row r="38" spans="1:23" ht="32">
      <c r="A38" s="43">
        <v>33</v>
      </c>
      <c r="B38" s="44" t="s">
        <v>211</v>
      </c>
      <c r="C38" s="52" t="s">
        <v>221</v>
      </c>
      <c r="D38" s="48" t="s">
        <v>213</v>
      </c>
      <c r="E38" s="48" t="s">
        <v>218</v>
      </c>
      <c r="F38" s="48" t="s">
        <v>277</v>
      </c>
      <c r="G38" s="48"/>
      <c r="H38" s="48"/>
      <c r="I38" s="59"/>
      <c r="J38" s="59"/>
      <c r="K38" s="47"/>
      <c r="L38" s="47"/>
      <c r="M38" s="47"/>
      <c r="N38" s="47"/>
      <c r="O38" s="47"/>
      <c r="P38" s="59"/>
      <c r="Q38" s="59"/>
      <c r="R38" s="59"/>
      <c r="S38" s="59"/>
      <c r="T38" s="47"/>
      <c r="U38" s="47"/>
      <c r="V38" s="59"/>
      <c r="W38" s="47"/>
    </row>
    <row r="39" spans="1:23" ht="32">
      <c r="A39" s="43">
        <v>34</v>
      </c>
      <c r="B39" s="44" t="s">
        <v>211</v>
      </c>
      <c r="C39" s="52" t="s">
        <v>222</v>
      </c>
      <c r="D39" s="48" t="s">
        <v>213</v>
      </c>
      <c r="E39" s="48" t="s">
        <v>218</v>
      </c>
      <c r="F39" s="48" t="s">
        <v>278</v>
      </c>
      <c r="G39" s="48"/>
      <c r="H39" s="48"/>
      <c r="I39" s="59"/>
      <c r="J39" s="59"/>
      <c r="K39" s="47"/>
      <c r="L39" s="47"/>
      <c r="M39" s="47"/>
      <c r="N39" s="47"/>
      <c r="O39" s="47"/>
      <c r="P39" s="59"/>
      <c r="Q39" s="59"/>
      <c r="R39" s="59"/>
      <c r="S39" s="59"/>
      <c r="T39" s="47"/>
      <c r="U39" s="47"/>
      <c r="V39" s="59"/>
      <c r="W39" s="47"/>
    </row>
    <row r="40" spans="1:23" ht="32">
      <c r="A40" s="43">
        <v>35</v>
      </c>
      <c r="B40" s="44" t="s">
        <v>211</v>
      </c>
      <c r="C40" s="52" t="s">
        <v>223</v>
      </c>
      <c r="D40" s="48" t="s">
        <v>213</v>
      </c>
      <c r="E40" s="48" t="s">
        <v>218</v>
      </c>
      <c r="F40" s="48" t="s">
        <v>279</v>
      </c>
      <c r="G40" s="48"/>
      <c r="H40" s="48"/>
      <c r="I40" s="59"/>
      <c r="J40" s="59"/>
      <c r="K40" s="47"/>
      <c r="L40" s="47"/>
      <c r="M40" s="47"/>
      <c r="N40" s="47"/>
      <c r="O40" s="47"/>
      <c r="P40" s="59"/>
      <c r="Q40" s="59"/>
      <c r="R40" s="59"/>
      <c r="S40" s="59"/>
      <c r="T40" s="47"/>
      <c r="U40" s="47"/>
      <c r="V40" s="59"/>
      <c r="W40" s="47"/>
    </row>
    <row r="41" spans="1:23" ht="32">
      <c r="A41" s="43">
        <v>36</v>
      </c>
      <c r="B41" s="44" t="s">
        <v>211</v>
      </c>
      <c r="C41" s="52" t="s">
        <v>224</v>
      </c>
      <c r="D41" s="48" t="s">
        <v>213</v>
      </c>
      <c r="E41" s="48" t="s">
        <v>218</v>
      </c>
      <c r="F41" s="48" t="s">
        <v>280</v>
      </c>
      <c r="G41" s="48"/>
      <c r="H41" s="48"/>
      <c r="I41" s="59"/>
      <c r="J41" s="59"/>
      <c r="K41" s="47"/>
      <c r="L41" s="47"/>
      <c r="M41" s="47"/>
      <c r="N41" s="47"/>
      <c r="O41" s="47"/>
      <c r="P41" s="59"/>
      <c r="Q41" s="59"/>
      <c r="R41" s="59"/>
      <c r="S41" s="59"/>
      <c r="T41" s="47"/>
      <c r="U41" s="47"/>
      <c r="V41" s="59"/>
      <c r="W41" s="47"/>
    </row>
    <row r="42" spans="1:23" ht="32">
      <c r="A42" s="43">
        <v>37</v>
      </c>
      <c r="B42" s="44" t="s">
        <v>211</v>
      </c>
      <c r="C42" s="52" t="s">
        <v>225</v>
      </c>
      <c r="D42" s="48" t="s">
        <v>213</v>
      </c>
      <c r="E42" s="48" t="s">
        <v>218</v>
      </c>
      <c r="F42" s="48" t="s">
        <v>274</v>
      </c>
      <c r="G42" s="48"/>
      <c r="H42" s="48"/>
      <c r="I42" s="59"/>
      <c r="J42" s="59"/>
      <c r="K42" s="47"/>
      <c r="L42" s="47"/>
      <c r="M42" s="47"/>
      <c r="N42" s="47"/>
      <c r="O42" s="47"/>
      <c r="P42" s="59"/>
      <c r="Q42" s="59"/>
      <c r="R42" s="59"/>
      <c r="S42" s="59"/>
      <c r="T42" s="47"/>
      <c r="U42" s="47"/>
      <c r="V42" s="59"/>
      <c r="W42" s="47"/>
    </row>
    <row r="43" spans="1:23" ht="32">
      <c r="A43" s="43">
        <v>38</v>
      </c>
      <c r="B43" s="44" t="s">
        <v>211</v>
      </c>
      <c r="C43" s="52" t="s">
        <v>226</v>
      </c>
      <c r="D43" s="48" t="s">
        <v>213</v>
      </c>
      <c r="E43" s="48" t="s">
        <v>218</v>
      </c>
      <c r="F43" s="48" t="s">
        <v>273</v>
      </c>
      <c r="G43" s="48"/>
      <c r="H43" s="48"/>
      <c r="I43" s="59"/>
      <c r="J43" s="59"/>
      <c r="K43" s="47"/>
      <c r="L43" s="47"/>
      <c r="M43" s="47"/>
      <c r="N43" s="47"/>
      <c r="O43" s="47"/>
      <c r="P43" s="59"/>
      <c r="Q43" s="59"/>
      <c r="R43" s="59"/>
      <c r="S43" s="59"/>
      <c r="T43" s="47"/>
      <c r="U43" s="47"/>
      <c r="V43" s="59"/>
      <c r="W43" s="47"/>
    </row>
    <row r="44" spans="1:23" ht="32">
      <c r="A44" s="43">
        <v>39</v>
      </c>
      <c r="B44" s="44" t="s">
        <v>211</v>
      </c>
      <c r="C44" s="52" t="s">
        <v>227</v>
      </c>
      <c r="D44" s="48" t="s">
        <v>213</v>
      </c>
      <c r="E44" s="48" t="s">
        <v>218</v>
      </c>
      <c r="F44" s="48" t="s">
        <v>272</v>
      </c>
      <c r="G44" s="48"/>
      <c r="H44" s="48"/>
      <c r="I44" s="59"/>
      <c r="J44" s="59"/>
      <c r="K44" s="47"/>
      <c r="L44" s="47"/>
      <c r="M44" s="47"/>
      <c r="N44" s="47"/>
      <c r="O44" s="47"/>
      <c r="P44" s="59"/>
      <c r="Q44" s="59"/>
      <c r="R44" s="59"/>
      <c r="S44" s="59"/>
      <c r="T44" s="47"/>
      <c r="U44" s="47"/>
      <c r="V44" s="59"/>
      <c r="W44" s="47"/>
    </row>
    <row r="45" spans="1:23" ht="32">
      <c r="A45" s="43">
        <v>40</v>
      </c>
      <c r="B45" s="44" t="s">
        <v>211</v>
      </c>
      <c r="C45" s="52" t="s">
        <v>228</v>
      </c>
      <c r="D45" s="48" t="s">
        <v>213</v>
      </c>
      <c r="E45" s="48" t="s">
        <v>218</v>
      </c>
      <c r="F45" s="48" t="s">
        <v>281</v>
      </c>
      <c r="G45" s="48"/>
      <c r="H45" s="48"/>
      <c r="I45" s="59"/>
      <c r="J45" s="59"/>
      <c r="K45" s="47"/>
      <c r="L45" s="47"/>
      <c r="M45" s="47"/>
      <c r="N45" s="47"/>
      <c r="O45" s="47"/>
      <c r="P45" s="59"/>
      <c r="Q45" s="59"/>
      <c r="R45" s="59"/>
      <c r="S45" s="59"/>
      <c r="T45" s="47"/>
      <c r="U45" s="47"/>
      <c r="V45" s="59"/>
      <c r="W45" s="47"/>
    </row>
    <row r="46" spans="1:23" ht="32">
      <c r="A46" s="43">
        <v>41</v>
      </c>
      <c r="B46" s="44" t="s">
        <v>211</v>
      </c>
      <c r="C46" s="52" t="s">
        <v>229</v>
      </c>
      <c r="D46" s="48" t="s">
        <v>213</v>
      </c>
      <c r="E46" s="48" t="s">
        <v>218</v>
      </c>
      <c r="F46" s="48" t="s">
        <v>271</v>
      </c>
      <c r="G46" s="48"/>
      <c r="H46" s="48"/>
      <c r="I46" s="59"/>
      <c r="J46" s="59"/>
      <c r="K46" s="47"/>
      <c r="L46" s="47"/>
      <c r="M46" s="47"/>
      <c r="N46" s="47"/>
      <c r="O46" s="47"/>
      <c r="P46" s="59"/>
      <c r="Q46" s="59"/>
      <c r="R46" s="59"/>
      <c r="S46" s="59"/>
      <c r="T46" s="47"/>
      <c r="U46" s="47"/>
      <c r="V46" s="59"/>
      <c r="W46" s="47"/>
    </row>
    <row r="47" spans="1:23" ht="32">
      <c r="A47" s="43">
        <v>42</v>
      </c>
      <c r="B47" s="44" t="s">
        <v>211</v>
      </c>
      <c r="C47" s="52" t="s">
        <v>230</v>
      </c>
      <c r="D47" s="48" t="s">
        <v>213</v>
      </c>
      <c r="E47" s="48" t="s">
        <v>218</v>
      </c>
      <c r="F47" s="48" t="s">
        <v>270</v>
      </c>
      <c r="G47" s="48"/>
      <c r="H47" s="48"/>
      <c r="I47" s="59"/>
      <c r="J47" s="59"/>
      <c r="K47" s="47"/>
      <c r="L47" s="47"/>
      <c r="M47" s="47"/>
      <c r="N47" s="47"/>
      <c r="O47" s="47"/>
      <c r="P47" s="59"/>
      <c r="Q47" s="59"/>
      <c r="R47" s="59"/>
      <c r="S47" s="59"/>
      <c r="T47" s="47"/>
      <c r="U47" s="47"/>
      <c r="V47" s="59"/>
      <c r="W47" s="47"/>
    </row>
    <row r="48" spans="1:23" ht="32">
      <c r="A48" s="43">
        <v>43</v>
      </c>
      <c r="B48" s="44" t="s">
        <v>211</v>
      </c>
      <c r="C48" s="52" t="s">
        <v>231</v>
      </c>
      <c r="D48" s="48" t="s">
        <v>213</v>
      </c>
      <c r="E48" s="48" t="s">
        <v>218</v>
      </c>
      <c r="F48" s="48" t="s">
        <v>267</v>
      </c>
      <c r="G48" s="48"/>
      <c r="H48" s="48"/>
      <c r="I48" s="59"/>
      <c r="J48" s="59"/>
      <c r="K48" s="47"/>
      <c r="L48" s="47"/>
      <c r="M48" s="47"/>
      <c r="N48" s="47"/>
      <c r="O48" s="47"/>
      <c r="P48" s="59"/>
      <c r="Q48" s="59"/>
      <c r="R48" s="59"/>
      <c r="S48" s="59"/>
      <c r="T48" s="47"/>
      <c r="U48" s="47"/>
      <c r="V48" s="59"/>
      <c r="W48" s="47"/>
    </row>
    <row r="49" spans="1:23" ht="32">
      <c r="A49" s="43">
        <v>44</v>
      </c>
      <c r="B49" s="44" t="s">
        <v>211</v>
      </c>
      <c r="C49" s="52" t="s">
        <v>232</v>
      </c>
      <c r="D49" s="48" t="s">
        <v>213</v>
      </c>
      <c r="E49" s="48" t="s">
        <v>218</v>
      </c>
      <c r="F49" s="48" t="s">
        <v>268</v>
      </c>
      <c r="G49" s="48"/>
      <c r="H49" s="48"/>
      <c r="I49" s="59"/>
      <c r="J49" s="59"/>
      <c r="K49" s="47"/>
      <c r="L49" s="47"/>
      <c r="M49" s="47"/>
      <c r="N49" s="47"/>
      <c r="O49" s="47"/>
      <c r="P49" s="59"/>
      <c r="Q49" s="59"/>
      <c r="R49" s="59"/>
      <c r="S49" s="59"/>
      <c r="T49" s="47"/>
      <c r="U49" s="47"/>
      <c r="V49" s="59"/>
      <c r="W49" s="47"/>
    </row>
    <row r="50" spans="1:23" ht="32">
      <c r="A50" s="43">
        <v>45</v>
      </c>
      <c r="B50" s="44" t="s">
        <v>211</v>
      </c>
      <c r="C50" s="52" t="s">
        <v>233</v>
      </c>
      <c r="D50" s="48" t="s">
        <v>213</v>
      </c>
      <c r="E50" s="48" t="s">
        <v>218</v>
      </c>
      <c r="F50" s="48" t="s">
        <v>269</v>
      </c>
      <c r="G50" s="48"/>
      <c r="H50" s="48"/>
      <c r="I50" s="59"/>
      <c r="J50" s="59"/>
      <c r="K50" s="47"/>
      <c r="L50" s="47"/>
      <c r="M50" s="47"/>
      <c r="N50" s="47"/>
      <c r="O50" s="47"/>
      <c r="P50" s="59"/>
      <c r="Q50" s="59"/>
      <c r="R50" s="59"/>
      <c r="S50" s="59"/>
      <c r="T50" s="47"/>
      <c r="U50" s="47"/>
      <c r="V50" s="59"/>
      <c r="W50" s="47"/>
    </row>
    <row r="51" spans="1:23" ht="32">
      <c r="A51" s="43">
        <v>46</v>
      </c>
      <c r="B51" s="44" t="s">
        <v>211</v>
      </c>
      <c r="C51" s="52" t="s">
        <v>234</v>
      </c>
      <c r="D51" s="48" t="s">
        <v>213</v>
      </c>
      <c r="E51" s="48" t="s">
        <v>218</v>
      </c>
      <c r="F51" s="48" t="s">
        <v>282</v>
      </c>
      <c r="G51" s="48"/>
      <c r="H51" s="48"/>
      <c r="I51" s="59"/>
      <c r="J51" s="59"/>
      <c r="K51" s="47"/>
      <c r="L51" s="47"/>
      <c r="M51" s="47"/>
      <c r="N51" s="47"/>
      <c r="O51" s="47"/>
      <c r="P51" s="59"/>
      <c r="Q51" s="59"/>
      <c r="R51" s="59"/>
      <c r="S51" s="59"/>
      <c r="T51" s="47"/>
      <c r="U51" s="47"/>
      <c r="V51" s="59"/>
      <c r="W51" s="47"/>
    </row>
    <row r="52" spans="1:23" ht="32">
      <c r="A52" s="43">
        <v>47</v>
      </c>
      <c r="B52" s="44" t="s">
        <v>211</v>
      </c>
      <c r="C52" s="52" t="s">
        <v>235</v>
      </c>
      <c r="D52" s="48" t="s">
        <v>213</v>
      </c>
      <c r="E52" s="48" t="s">
        <v>218</v>
      </c>
      <c r="F52" s="48" t="s">
        <v>283</v>
      </c>
      <c r="G52" s="48"/>
      <c r="H52" s="48"/>
      <c r="I52" s="59"/>
      <c r="J52" s="59"/>
      <c r="K52" s="47"/>
      <c r="L52" s="47"/>
      <c r="M52" s="47"/>
      <c r="N52" s="47"/>
      <c r="O52" s="47"/>
      <c r="P52" s="59"/>
      <c r="Q52" s="59"/>
      <c r="R52" s="59"/>
      <c r="S52" s="59"/>
      <c r="T52" s="47"/>
      <c r="U52" s="47"/>
      <c r="V52" s="59"/>
      <c r="W52" s="47"/>
    </row>
    <row r="53" spans="1:23" ht="32">
      <c r="A53" s="43">
        <v>48</v>
      </c>
      <c r="B53" s="44" t="s">
        <v>211</v>
      </c>
      <c r="C53" s="52" t="s">
        <v>236</v>
      </c>
      <c r="D53" s="48" t="s">
        <v>213</v>
      </c>
      <c r="E53" s="48" t="s">
        <v>218</v>
      </c>
      <c r="F53" s="48" t="s">
        <v>284</v>
      </c>
      <c r="G53" s="48"/>
      <c r="H53" s="48"/>
      <c r="I53" s="59"/>
      <c r="J53" s="59"/>
      <c r="K53" s="47"/>
      <c r="L53" s="47"/>
      <c r="M53" s="47"/>
      <c r="N53" s="47"/>
      <c r="O53" s="47"/>
      <c r="P53" s="59"/>
      <c r="Q53" s="59"/>
      <c r="R53" s="59"/>
      <c r="S53" s="59"/>
      <c r="T53" s="47"/>
      <c r="U53" s="47"/>
      <c r="V53" s="59"/>
      <c r="W53" s="47"/>
    </row>
    <row r="54" spans="1:23" ht="32">
      <c r="A54" s="43">
        <v>49</v>
      </c>
      <c r="B54" s="44" t="s">
        <v>211</v>
      </c>
      <c r="C54" s="52" t="s">
        <v>237</v>
      </c>
      <c r="D54" s="48" t="s">
        <v>213</v>
      </c>
      <c r="E54" s="48" t="s">
        <v>218</v>
      </c>
      <c r="F54" s="48" t="s">
        <v>285</v>
      </c>
      <c r="G54" s="48"/>
      <c r="H54" s="48"/>
      <c r="I54" s="59"/>
      <c r="J54" s="59"/>
      <c r="K54" s="47"/>
      <c r="L54" s="47"/>
      <c r="M54" s="47"/>
      <c r="N54" s="47"/>
      <c r="O54" s="47"/>
      <c r="P54" s="59"/>
      <c r="Q54" s="59"/>
      <c r="R54" s="59"/>
      <c r="S54" s="59"/>
      <c r="T54" s="47"/>
      <c r="U54" s="47"/>
      <c r="V54" s="59"/>
      <c r="W54" s="47"/>
    </row>
    <row r="55" spans="1:23" ht="32">
      <c r="A55" s="43">
        <v>50</v>
      </c>
      <c r="B55" s="44" t="s">
        <v>211</v>
      </c>
      <c r="C55" s="52" t="s">
        <v>238</v>
      </c>
      <c r="D55" s="48" t="s">
        <v>213</v>
      </c>
      <c r="E55" s="48" t="s">
        <v>218</v>
      </c>
      <c r="F55" s="48" t="s">
        <v>286</v>
      </c>
      <c r="G55" s="48"/>
      <c r="H55" s="48"/>
      <c r="I55" s="59"/>
      <c r="J55" s="59"/>
      <c r="K55" s="47"/>
      <c r="L55" s="47"/>
      <c r="M55" s="47"/>
      <c r="N55" s="47"/>
      <c r="O55" s="47"/>
      <c r="P55" s="59"/>
      <c r="Q55" s="59"/>
      <c r="R55" s="59"/>
      <c r="S55" s="59"/>
      <c r="T55" s="47"/>
      <c r="U55" s="47"/>
      <c r="V55" s="59"/>
      <c r="W55" s="47"/>
    </row>
    <row r="56" spans="1:23" ht="32">
      <c r="A56" s="43">
        <v>51</v>
      </c>
      <c r="B56" s="44" t="s">
        <v>211</v>
      </c>
      <c r="C56" s="52" t="s">
        <v>239</v>
      </c>
      <c r="D56" s="48" t="s">
        <v>213</v>
      </c>
      <c r="E56" s="48" t="s">
        <v>218</v>
      </c>
      <c r="F56" s="48" t="s">
        <v>287</v>
      </c>
      <c r="G56" s="48"/>
      <c r="H56" s="48"/>
      <c r="I56" s="59"/>
      <c r="J56" s="59"/>
      <c r="K56" s="47"/>
      <c r="L56" s="47"/>
      <c r="M56" s="47"/>
      <c r="N56" s="47"/>
      <c r="O56" s="47"/>
      <c r="P56" s="59"/>
      <c r="Q56" s="59"/>
      <c r="R56" s="59"/>
      <c r="S56" s="59"/>
      <c r="T56" s="47"/>
      <c r="U56" s="47"/>
      <c r="V56" s="59"/>
      <c r="W56" s="47"/>
    </row>
    <row r="57" spans="1:23" ht="32">
      <c r="A57" s="43">
        <v>52</v>
      </c>
      <c r="B57" s="44" t="s">
        <v>211</v>
      </c>
      <c r="C57" s="52" t="s">
        <v>240</v>
      </c>
      <c r="D57" s="48" t="s">
        <v>213</v>
      </c>
      <c r="E57" s="48" t="s">
        <v>218</v>
      </c>
      <c r="F57" s="48" t="s">
        <v>288</v>
      </c>
      <c r="G57" s="48"/>
      <c r="H57" s="48"/>
      <c r="I57" s="59"/>
      <c r="J57" s="59"/>
      <c r="K57" s="47"/>
      <c r="L57" s="47"/>
      <c r="M57" s="47"/>
      <c r="N57" s="47"/>
      <c r="O57" s="47"/>
      <c r="P57" s="59"/>
      <c r="Q57" s="59"/>
      <c r="R57" s="59"/>
      <c r="S57" s="59"/>
      <c r="T57" s="47"/>
      <c r="U57" s="47"/>
      <c r="V57" s="59"/>
      <c r="W57" s="47"/>
    </row>
    <row r="58" spans="1:23" ht="32">
      <c r="A58" s="43">
        <v>53</v>
      </c>
      <c r="B58" s="44" t="s">
        <v>211</v>
      </c>
      <c r="C58" s="52" t="s">
        <v>241</v>
      </c>
      <c r="D58" s="48" t="s">
        <v>213</v>
      </c>
      <c r="E58" s="48" t="s">
        <v>218</v>
      </c>
      <c r="F58" s="48" t="s">
        <v>289</v>
      </c>
      <c r="G58" s="48"/>
      <c r="H58" s="48"/>
      <c r="I58" s="59"/>
      <c r="J58" s="59"/>
      <c r="K58" s="47"/>
      <c r="L58" s="47"/>
      <c r="M58" s="47"/>
      <c r="N58" s="47"/>
      <c r="O58" s="47"/>
      <c r="P58" s="59"/>
      <c r="Q58" s="59"/>
      <c r="R58" s="59"/>
      <c r="S58" s="59"/>
      <c r="T58" s="47"/>
      <c r="U58" s="47"/>
      <c r="V58" s="59"/>
      <c r="W58" s="47"/>
    </row>
    <row r="59" spans="1:23" ht="32">
      <c r="A59" s="43">
        <v>54</v>
      </c>
      <c r="B59" s="44" t="s">
        <v>211</v>
      </c>
      <c r="C59" s="52" t="s">
        <v>242</v>
      </c>
      <c r="D59" s="48" t="s">
        <v>213</v>
      </c>
      <c r="E59" s="48" t="s">
        <v>218</v>
      </c>
      <c r="F59" s="48" t="s">
        <v>290</v>
      </c>
      <c r="G59" s="48"/>
      <c r="H59" s="48"/>
      <c r="I59" s="59"/>
      <c r="J59" s="59"/>
      <c r="K59" s="47"/>
      <c r="L59" s="47"/>
      <c r="M59" s="47"/>
      <c r="N59" s="47"/>
      <c r="O59" s="47"/>
      <c r="P59" s="59"/>
      <c r="Q59" s="59"/>
      <c r="R59" s="59"/>
      <c r="S59" s="59"/>
      <c r="T59" s="47"/>
      <c r="U59" s="47"/>
      <c r="V59" s="59"/>
      <c r="W59" s="47"/>
    </row>
    <row r="60" spans="1:23" ht="32">
      <c r="A60" s="43">
        <v>55</v>
      </c>
      <c r="B60" s="44" t="s">
        <v>211</v>
      </c>
      <c r="C60" s="52" t="s">
        <v>243</v>
      </c>
      <c r="D60" s="48" t="s">
        <v>213</v>
      </c>
      <c r="E60" s="48" t="s">
        <v>218</v>
      </c>
      <c r="F60" s="48" t="s">
        <v>291</v>
      </c>
      <c r="G60" s="48"/>
      <c r="H60" s="48"/>
      <c r="I60" s="59"/>
      <c r="J60" s="59"/>
      <c r="K60" s="47"/>
      <c r="L60" s="47"/>
      <c r="M60" s="47"/>
      <c r="N60" s="47"/>
      <c r="O60" s="47"/>
      <c r="P60" s="59"/>
      <c r="Q60" s="59"/>
      <c r="R60" s="59"/>
      <c r="S60" s="59"/>
      <c r="T60" s="47"/>
      <c r="U60" s="47"/>
      <c r="V60" s="59"/>
      <c r="W60" s="47"/>
    </row>
    <row r="61" spans="1:23" ht="32">
      <c r="A61" s="43">
        <v>56</v>
      </c>
      <c r="B61" s="44" t="s">
        <v>211</v>
      </c>
      <c r="C61" s="52" t="s">
        <v>245</v>
      </c>
      <c r="D61" s="48" t="s">
        <v>213</v>
      </c>
      <c r="E61" s="48" t="s">
        <v>218</v>
      </c>
      <c r="F61" s="48" t="s">
        <v>292</v>
      </c>
      <c r="G61" s="48"/>
      <c r="H61" s="48"/>
      <c r="I61" s="59"/>
      <c r="J61" s="59"/>
      <c r="K61" s="47"/>
      <c r="L61" s="47"/>
      <c r="M61" s="47"/>
      <c r="N61" s="47"/>
      <c r="O61" s="47"/>
      <c r="P61" s="59"/>
      <c r="Q61" s="59"/>
      <c r="R61" s="59"/>
      <c r="S61" s="59"/>
      <c r="T61" s="47"/>
      <c r="U61" s="47"/>
      <c r="V61" s="59"/>
      <c r="W61" s="47"/>
    </row>
  </sheetData>
  <mergeCells count="5">
    <mergeCell ref="R4:W4"/>
    <mergeCell ref="A1:O1"/>
    <mergeCell ref="A2:E2"/>
    <mergeCell ref="A4:H4"/>
    <mergeCell ref="I4:Q4"/>
  </mergeCells>
  <phoneticPr fontId="18" type="noConversion"/>
  <conditionalFormatting sqref="A62:H92 G35:H61">
    <cfRule type="expression" dxfId="185" priority="103">
      <formula>IF($J35="제외", TRUE, FALSE)</formula>
    </cfRule>
    <cfRule type="expression" dxfId="184" priority="104">
      <formula>IF(OR($J35="부분수용", $J35="불가"), TRUE, FALSE)</formula>
    </cfRule>
  </conditionalFormatting>
  <conditionalFormatting sqref="U35:W92 S35:S92 V11:W34">
    <cfRule type="expression" dxfId="183" priority="85">
      <formula>IF($S11="제외", TRUE, FALSE)</formula>
    </cfRule>
    <cfRule type="expression" dxfId="182" priority="86">
      <formula>IF(OR($S11="부분수용", $S11="불가"), TRUE, FALSE)</formula>
    </cfRule>
  </conditionalFormatting>
  <conditionalFormatting sqref="T35:T92">
    <cfRule type="expression" dxfId="181" priority="83">
      <formula>IF($S35="제외", TRUE, FALSE)</formula>
    </cfRule>
    <cfRule type="expression" dxfId="180" priority="84">
      <formula>IF(OR($S35="부분수용", $S35="불가"), TRUE, FALSE)</formula>
    </cfRule>
  </conditionalFormatting>
  <conditionalFormatting sqref="I11:I92">
    <cfRule type="expression" dxfId="179" priority="81">
      <formula>IF(#REF!="제외", TRUE, FALSE)</formula>
    </cfRule>
    <cfRule type="expression" dxfId="178" priority="82">
      <formula>IF(OR(#REF!="부분수용", #REF!="불가"), TRUE, FALSE)</formula>
    </cfRule>
  </conditionalFormatting>
  <conditionalFormatting sqref="Q11:Q92 O11:O92">
    <cfRule type="expression" dxfId="177" priority="79">
      <formula>IF(#REF!="제외", TRUE, FALSE)</formula>
    </cfRule>
    <cfRule type="expression" dxfId="176" priority="80">
      <formula>IF(OR(#REF!="부분수용", #REF!="불가"), TRUE, FALSE)</formula>
    </cfRule>
  </conditionalFormatting>
  <conditionalFormatting sqref="M11:N92 K11:K92">
    <cfRule type="expression" dxfId="175" priority="77">
      <formula>IF(#REF!="제외", TRUE, FALSE)</formula>
    </cfRule>
    <cfRule type="expression" dxfId="174" priority="78">
      <formula>IF(OR(#REF!="부분수용", #REF!="불가"), TRUE, FALSE)</formula>
    </cfRule>
  </conditionalFormatting>
  <conditionalFormatting sqref="J11:J92">
    <cfRule type="expression" dxfId="173" priority="73">
      <formula>IF(#REF!="제외", TRUE, FALSE)</formula>
    </cfRule>
    <cfRule type="expression" dxfId="172" priority="74">
      <formula>IF(OR(#REF!="부분수용", #REF!="불가"), TRUE, FALSE)</formula>
    </cfRule>
  </conditionalFormatting>
  <conditionalFormatting sqref="L11:L92">
    <cfRule type="expression" dxfId="171" priority="69">
      <formula>IF(#REF!="제외", TRUE, FALSE)</formula>
    </cfRule>
    <cfRule type="expression" dxfId="170" priority="70">
      <formula>IF(OR(#REF!="부분수용", #REF!="불가"), TRUE, FALSE)</formula>
    </cfRule>
  </conditionalFormatting>
  <conditionalFormatting sqref="P11:P92">
    <cfRule type="expression" dxfId="169" priority="67">
      <formula>IF(#REF!="제외", TRUE, FALSE)</formula>
    </cfRule>
    <cfRule type="expression" dxfId="168" priority="68">
      <formula>IF(OR(#REF!="부분수용", #REF!="불가"), TRUE, FALSE)</formula>
    </cfRule>
  </conditionalFormatting>
  <conditionalFormatting sqref="R35:R92">
    <cfRule type="expression" dxfId="167" priority="63">
      <formula>IF($J35="제외", TRUE, FALSE)</formula>
    </cfRule>
    <cfRule type="expression" dxfId="166" priority="64">
      <formula>IF(OR($J35="부분수용", $J35="불가"), TRUE, FALSE)</formula>
    </cfRule>
  </conditionalFormatting>
  <conditionalFormatting sqref="V6:W10">
    <cfRule type="expression" dxfId="165" priority="49">
      <formula>IF($S6="제외", TRUE, FALSE)</formula>
    </cfRule>
    <cfRule type="expression" dxfId="164" priority="50">
      <formula>IF(OR($S6="부분수용", $S6="불가"), TRUE, FALSE)</formula>
    </cfRule>
  </conditionalFormatting>
  <conditionalFormatting sqref="I6:Q10">
    <cfRule type="expression" dxfId="163" priority="45">
      <formula>IF($S6="제외", TRUE, FALSE)</formula>
    </cfRule>
    <cfRule type="expression" dxfId="162" priority="46">
      <formula>IF(OR($S6="부분수용", $S6="불가"), TRUE, FALSE)</formula>
    </cfRule>
  </conditionalFormatting>
  <conditionalFormatting sqref="A6:H6 A8:H8 A7:F7 A9:C34 C35 A35:A61">
    <cfRule type="expression" dxfId="161" priority="41">
      <formula>IF($J6="제외", TRUE, FALSE)</formula>
    </cfRule>
    <cfRule type="expression" dxfId="160" priority="42">
      <formula>IF(OR($J6="부분수용", $J6="불가"), TRUE, FALSE)</formula>
    </cfRule>
  </conditionalFormatting>
  <conditionalFormatting sqref="D9:H34">
    <cfRule type="expression" dxfId="159" priority="43">
      <formula>IF($J9="제외", TRUE, FALSE)</formula>
    </cfRule>
    <cfRule type="expression" dxfId="158" priority="44">
      <formula>IF(OR($J9="부분수용", $J9="불가"), TRUE, FALSE)</formula>
    </cfRule>
  </conditionalFormatting>
  <conditionalFormatting sqref="G7:H7">
    <cfRule type="expression" dxfId="157" priority="39">
      <formula>IF($J7="제외", TRUE, FALSE)</formula>
    </cfRule>
    <cfRule type="expression" dxfId="156" priority="40">
      <formula>IF(OR($J7="부분수용", $J7="불가"), TRUE, FALSE)</formula>
    </cfRule>
  </conditionalFormatting>
  <conditionalFormatting sqref="R6:S8">
    <cfRule type="expression" dxfId="155" priority="33">
      <formula>IF($J6="제외", TRUE, FALSE)</formula>
    </cfRule>
    <cfRule type="expression" dxfId="154" priority="34">
      <formula>IF(OR($J6="부분수용", $J6="불가"), TRUE, FALSE)</formula>
    </cfRule>
  </conditionalFormatting>
  <conditionalFormatting sqref="R9:T34">
    <cfRule type="expression" dxfId="153" priority="37">
      <formula>IF($J9="제외", TRUE, FALSE)</formula>
    </cfRule>
    <cfRule type="expression" dxfId="152" priority="38">
      <formula>IF(OR($J9="부분수용", $J9="불가"), TRUE, FALSE)</formula>
    </cfRule>
  </conditionalFormatting>
  <conditionalFormatting sqref="T6:T8">
    <cfRule type="expression" dxfId="151" priority="27">
      <formula>$O6="중복"</formula>
    </cfRule>
    <cfRule type="expression" dxfId="150" priority="28">
      <formula>$O6="확인중"</formula>
    </cfRule>
    <cfRule type="expression" dxfId="149" priority="29">
      <formula>$O6="제외"</formula>
    </cfRule>
    <cfRule type="expression" dxfId="148" priority="30">
      <formula>$O6="불가"</formula>
    </cfRule>
    <cfRule type="expression" dxfId="147" priority="31">
      <formula>$O6="부분수용"</formula>
    </cfRule>
    <cfRule type="expression" dxfId="146" priority="32">
      <formula>$O6="수용"</formula>
    </cfRule>
  </conditionalFormatting>
  <conditionalFormatting sqref="U6 U8:U34">
    <cfRule type="expression" dxfId="145" priority="35">
      <formula>IF($J6="제외", TRUE, FALSE)</formula>
    </cfRule>
    <cfRule type="expression" dxfId="144" priority="36">
      <formula>IF(OR($J6="부분수용", $J6="불가"), TRUE, FALSE)</formula>
    </cfRule>
  </conditionalFormatting>
  <conditionalFormatting sqref="U7">
    <cfRule type="expression" dxfId="143" priority="25">
      <formula>IF($J7="제외", TRUE, FALSE)</formula>
    </cfRule>
    <cfRule type="expression" dxfId="142" priority="26">
      <formula>IF(OR($J7="부분수용", $J7="불가"), TRUE, FALSE)</formula>
    </cfRule>
  </conditionalFormatting>
  <conditionalFormatting sqref="D35:F35">
    <cfRule type="expression" dxfId="141" priority="23">
      <formula>IF($J35="제외", TRUE, FALSE)</formula>
    </cfRule>
    <cfRule type="expression" dxfId="140" priority="24">
      <formula>IF(OR($J35="부분수용", $J35="불가"), TRUE, FALSE)</formula>
    </cfRule>
  </conditionalFormatting>
  <conditionalFormatting sqref="B35">
    <cfRule type="expression" dxfId="139" priority="17">
      <formula>#REF!="중복"</formula>
    </cfRule>
    <cfRule type="expression" dxfId="138" priority="18">
      <formula>#REF!="확인중"</formula>
    </cfRule>
    <cfRule type="expression" dxfId="137" priority="19">
      <formula>#REF!="제외"</formula>
    </cfRule>
    <cfRule type="expression" dxfId="136" priority="20">
      <formula>#REF!="불가"</formula>
    </cfRule>
    <cfRule type="expression" dxfId="135" priority="21">
      <formula>#REF!="부분수용"</formula>
    </cfRule>
    <cfRule type="expression" dxfId="134" priority="22">
      <formula>#REF!="수용"</formula>
    </cfRule>
  </conditionalFormatting>
  <conditionalFormatting sqref="C36:C61">
    <cfRule type="expression" dxfId="133" priority="9">
      <formula>IF($J36="제외", TRUE, FALSE)</formula>
    </cfRule>
    <cfRule type="expression" dxfId="132" priority="10">
      <formula>IF(OR($J36="부분수용", $J36="불가"), TRUE, FALSE)</formula>
    </cfRule>
  </conditionalFormatting>
  <conditionalFormatting sqref="D36:F61">
    <cfRule type="expression" dxfId="131" priority="7">
      <formula>IF($J36="제외", TRUE, FALSE)</formula>
    </cfRule>
    <cfRule type="expression" dxfId="130" priority="8">
      <formula>IF(OR($J36="부분수용", $J36="불가"), TRUE, FALSE)</formula>
    </cfRule>
  </conditionalFormatting>
  <conditionalFormatting sqref="B36:B61">
    <cfRule type="expression" dxfId="129" priority="1">
      <formula>#REF!="중복"</formula>
    </cfRule>
    <cfRule type="expression" dxfId="128" priority="2">
      <formula>#REF!="확인중"</formula>
    </cfRule>
    <cfRule type="expression" dxfId="127" priority="3">
      <formula>#REF!="제외"</formula>
    </cfRule>
    <cfRule type="expression" dxfId="126" priority="4">
      <formula>#REF!="불가"</formula>
    </cfRule>
    <cfRule type="expression" dxfId="125" priority="5">
      <formula>#REF!="부분수용"</formula>
    </cfRule>
    <cfRule type="expression" dxfId="124" priority="6">
      <formula>#REF!="수용"</formula>
    </cfRule>
  </conditionalFormatting>
  <dataValidations count="4">
    <dataValidation type="list" allowBlank="1" showInputMessage="1" showErrorMessage="1" sqref="S6:S8" xr:uid="{4FC1AFF1-C2BC-482C-B934-F821A379701D}">
      <formula1>"수용,부분수용,불가,제외"</formula1>
    </dataValidation>
    <dataValidation type="list" allowBlank="1" showInputMessage="1" showErrorMessage="1" sqref="R6:R8" xr:uid="{6BB05AD6-5391-4184-9546-D8ECB38DA1C9}">
      <formula1>"기능,비기능(품질),인터페이스,기술인프라,기타"</formula1>
    </dataValidation>
    <dataValidation type="list" allowBlank="1" showInputMessage="1" showErrorMessage="1" sqref="I6:I10" xr:uid="{7F531338-1C98-4137-B4CC-449EE528573C}">
      <formula1>"추가,내용변경,삭제"</formula1>
    </dataValidation>
    <dataValidation type="list" allowBlank="1" showInputMessage="1" showErrorMessage="1" sqref="J6:J10" xr:uid="{06BC992E-AF2F-4753-B91B-9C697EBC33DF}">
      <formula1>"완료,진행중"</formula1>
    </dataValidation>
  </dataValidations>
  <pageMargins left="0.59055118110236227" right="0.59055118110236227" top="0.78740157480314965" bottom="0.51181102362204722" header="0.51181102362204722" footer="0.31496062992125984"/>
  <pageSetup paperSize="9" scale="50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D14AF-A3E5-431C-8137-5D35D1C08CFF}">
  <sheetPr>
    <pageSetUpPr fitToPage="1"/>
  </sheetPr>
  <dimension ref="A1:W14"/>
  <sheetViews>
    <sheetView showGridLines="0" zoomScale="85" zoomScaleNormal="85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E26" sqref="E26"/>
    </sheetView>
  </sheetViews>
  <sheetFormatPr defaultColWidth="8.9140625" defaultRowHeight="16"/>
  <cols>
    <col min="1" max="1" width="3.4140625" style="9" customWidth="1"/>
    <col min="2" max="2" width="7.4140625" style="9" customWidth="1"/>
    <col min="3" max="3" width="12.6640625" style="9" customWidth="1"/>
    <col min="4" max="4" width="12.83203125" style="7" customWidth="1"/>
    <col min="5" max="5" width="20.83203125" style="7" customWidth="1"/>
    <col min="6" max="6" width="28.83203125" style="7" customWidth="1"/>
    <col min="7" max="8" width="28.83203125" style="8" customWidth="1"/>
    <col min="9" max="9" width="6.4140625" style="9" customWidth="1"/>
    <col min="10" max="10" width="8.25" style="9" customWidth="1"/>
    <col min="11" max="12" width="10.08203125" style="7" customWidth="1"/>
    <col min="13" max="13" width="6.4140625" style="7" customWidth="1"/>
    <col min="14" max="14" width="11.6640625" style="7" customWidth="1"/>
    <col min="15" max="15" width="29.9140625" style="7" customWidth="1"/>
    <col min="16" max="17" width="6.4140625" style="9" customWidth="1"/>
    <col min="18" max="18" width="3.9140625" style="9" customWidth="1"/>
    <col min="19" max="19" width="4.4140625" style="9" bestFit="1" customWidth="1"/>
    <col min="20" max="21" width="10.66406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웹메일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179</v>
      </c>
      <c r="V2" s="22" t="s">
        <v>35</v>
      </c>
      <c r="W2" s="23">
        <v>46126</v>
      </c>
    </row>
    <row r="3" spans="1:23" s="6" customFormat="1" ht="3" customHeight="1">
      <c r="A3" s="10"/>
      <c r="B3" s="10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17.5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44" thickBot="1">
      <c r="A5" s="14" t="s">
        <v>17</v>
      </c>
      <c r="B5" s="25" t="s">
        <v>39</v>
      </c>
      <c r="C5" s="15" t="s">
        <v>0</v>
      </c>
      <c r="D5" s="25" t="s">
        <v>180</v>
      </c>
      <c r="E5" s="25" t="s">
        <v>27</v>
      </c>
      <c r="F5" s="25" t="s">
        <v>28</v>
      </c>
      <c r="G5" s="25" t="s">
        <v>16</v>
      </c>
      <c r="H5" s="25" t="s">
        <v>18</v>
      </c>
      <c r="I5" s="25" t="s">
        <v>57</v>
      </c>
      <c r="J5" s="25" t="s">
        <v>66</v>
      </c>
      <c r="K5" s="25" t="s">
        <v>62</v>
      </c>
      <c r="L5" s="25" t="s">
        <v>65</v>
      </c>
      <c r="M5" s="25" t="s">
        <v>58</v>
      </c>
      <c r="N5" s="25" t="s">
        <v>64</v>
      </c>
      <c r="O5" s="25" t="s">
        <v>59</v>
      </c>
      <c r="P5" s="25" t="s">
        <v>60</v>
      </c>
      <c r="Q5" s="25" t="s">
        <v>61</v>
      </c>
      <c r="R5" s="25" t="s">
        <v>67</v>
      </c>
      <c r="S5" s="25" t="s">
        <v>19</v>
      </c>
      <c r="T5" s="25" t="s">
        <v>33</v>
      </c>
      <c r="U5" s="25" t="s">
        <v>32</v>
      </c>
      <c r="V5" s="25" t="s">
        <v>20</v>
      </c>
      <c r="W5" s="16" t="s">
        <v>21</v>
      </c>
    </row>
    <row r="6" spans="1:23" ht="43.5">
      <c r="A6" s="64">
        <f>ROW($A6)-5</f>
        <v>1</v>
      </c>
      <c r="B6" s="43" t="s">
        <v>157</v>
      </c>
      <c r="C6" s="65" t="s">
        <v>250</v>
      </c>
      <c r="D6" s="66" t="s">
        <v>158</v>
      </c>
      <c r="E6" s="67" t="s">
        <v>159</v>
      </c>
      <c r="F6" s="41"/>
      <c r="G6" s="41"/>
      <c r="H6" s="41"/>
      <c r="I6" s="24"/>
      <c r="J6" s="24"/>
      <c r="K6" s="24"/>
      <c r="L6" s="24"/>
      <c r="M6" s="24"/>
      <c r="N6" s="24"/>
      <c r="O6" s="41"/>
      <c r="P6" s="24"/>
      <c r="Q6" s="24"/>
      <c r="R6" s="43" t="s">
        <v>1</v>
      </c>
      <c r="S6" s="43" t="s">
        <v>6</v>
      </c>
      <c r="T6" s="43" t="s">
        <v>160</v>
      </c>
      <c r="U6" s="41"/>
      <c r="V6" s="41"/>
      <c r="W6" s="41"/>
    </row>
    <row r="7" spans="1:23" ht="32">
      <c r="A7" s="64">
        <f>ROW($A7)-5</f>
        <v>2</v>
      </c>
      <c r="B7" s="44" t="s">
        <v>246</v>
      </c>
      <c r="C7" s="65" t="s">
        <v>247</v>
      </c>
      <c r="D7" s="48" t="s">
        <v>248</v>
      </c>
      <c r="E7" s="48" t="s">
        <v>249</v>
      </c>
      <c r="F7" s="48" t="s">
        <v>251</v>
      </c>
      <c r="G7" s="48"/>
      <c r="H7" s="48"/>
      <c r="I7" s="59"/>
      <c r="J7" s="59"/>
      <c r="K7" s="48"/>
      <c r="L7" s="48"/>
      <c r="M7" s="48"/>
      <c r="N7" s="48"/>
      <c r="O7" s="48"/>
      <c r="P7" s="59"/>
      <c r="Q7" s="59"/>
      <c r="R7" s="59"/>
      <c r="S7" s="59"/>
      <c r="T7" s="48"/>
      <c r="U7" s="48"/>
      <c r="V7" s="59"/>
      <c r="W7" s="48"/>
    </row>
    <row r="8" spans="1:23">
      <c r="D8" s="8"/>
      <c r="E8" s="8"/>
      <c r="F8" s="8"/>
      <c r="K8" s="8"/>
      <c r="L8" s="8"/>
      <c r="M8" s="8"/>
      <c r="N8" s="8"/>
      <c r="O8" s="8"/>
      <c r="T8" s="8"/>
      <c r="U8" s="8"/>
      <c r="W8" s="8"/>
    </row>
    <row r="9" spans="1:23">
      <c r="D9" s="8"/>
      <c r="E9" s="8"/>
      <c r="F9" s="8"/>
      <c r="K9" s="8"/>
      <c r="L9" s="8"/>
      <c r="M9" s="8"/>
      <c r="N9" s="8"/>
      <c r="O9" s="8"/>
      <c r="T9" s="8"/>
      <c r="U9" s="8"/>
      <c r="W9" s="8"/>
    </row>
    <row r="10" spans="1:23">
      <c r="D10" s="8"/>
      <c r="E10" s="8"/>
      <c r="F10" s="8"/>
      <c r="K10" s="8"/>
      <c r="L10" s="8"/>
      <c r="M10" s="8"/>
      <c r="N10" s="8"/>
      <c r="O10" s="8"/>
      <c r="T10" s="8"/>
      <c r="U10" s="8"/>
      <c r="W10" s="8"/>
    </row>
    <row r="11" spans="1:23">
      <c r="D11" s="8"/>
      <c r="E11" s="8"/>
      <c r="F11" s="8"/>
      <c r="K11" s="8"/>
      <c r="L11" s="8"/>
      <c r="M11" s="8"/>
      <c r="N11" s="8"/>
      <c r="O11" s="8"/>
      <c r="T11" s="8"/>
      <c r="U11" s="8"/>
      <c r="W11" s="8"/>
    </row>
    <row r="12" spans="1:23">
      <c r="D12" s="8"/>
      <c r="E12" s="8"/>
      <c r="F12" s="8"/>
      <c r="K12" s="8"/>
      <c r="L12" s="8"/>
      <c r="M12" s="8"/>
      <c r="N12" s="8"/>
      <c r="O12" s="8"/>
      <c r="T12" s="8"/>
      <c r="U12" s="8"/>
      <c r="W12" s="8"/>
    </row>
    <row r="13" spans="1:23">
      <c r="D13" s="8"/>
      <c r="E13" s="8"/>
      <c r="F13" s="8"/>
      <c r="K13" s="8"/>
      <c r="L13" s="8"/>
      <c r="M13" s="8"/>
      <c r="N13" s="8"/>
      <c r="O13" s="8"/>
      <c r="T13" s="8"/>
      <c r="U13" s="8"/>
      <c r="W13" s="8"/>
    </row>
    <row r="14" spans="1:23">
      <c r="D14" s="8"/>
      <c r="E14" s="8"/>
      <c r="F14" s="8"/>
      <c r="K14" s="8"/>
      <c r="L14" s="8"/>
      <c r="M14" s="8"/>
      <c r="N14" s="8"/>
      <c r="O14" s="8"/>
      <c r="T14" s="8"/>
      <c r="U14" s="8"/>
      <c r="W14" s="8"/>
    </row>
  </sheetData>
  <mergeCells count="5">
    <mergeCell ref="R4:W4"/>
    <mergeCell ref="A1:O1"/>
    <mergeCell ref="A2:E2"/>
    <mergeCell ref="A4:H4"/>
    <mergeCell ref="I4:Q4"/>
  </mergeCells>
  <phoneticPr fontId="18" type="noConversion"/>
  <conditionalFormatting sqref="A8:H88 G7:H7">
    <cfRule type="expression" dxfId="123" priority="65">
      <formula>IF($J7="제외", TRUE, FALSE)</formula>
    </cfRule>
    <cfRule type="expression" dxfId="122" priority="66">
      <formula>IF(OR($J7="부분수용", $J7="불가"), TRUE, FALSE)</formula>
    </cfRule>
  </conditionalFormatting>
  <conditionalFormatting sqref="S7:S88 F6:Q6 U6:W88">
    <cfRule type="expression" dxfId="121" priority="47">
      <formula>IF($S6="제외", TRUE, FALSE)</formula>
    </cfRule>
    <cfRule type="expression" dxfId="120" priority="48">
      <formula>IF(OR($S6="부분수용", $S6="불가"), TRUE, FALSE)</formula>
    </cfRule>
  </conditionalFormatting>
  <conditionalFormatting sqref="T7:T88">
    <cfRule type="expression" dxfId="119" priority="45">
      <formula>IF($S7="제외", TRUE, FALSE)</formula>
    </cfRule>
    <cfRule type="expression" dxfId="118" priority="46">
      <formula>IF(OR($S7="부분수용", $S7="불가"), TRUE, FALSE)</formula>
    </cfRule>
  </conditionalFormatting>
  <conditionalFormatting sqref="I7:I88">
    <cfRule type="expression" dxfId="117" priority="43">
      <formula>IF(#REF!="제외", TRUE, FALSE)</formula>
    </cfRule>
    <cfRule type="expression" dxfId="116" priority="44">
      <formula>IF(OR(#REF!="부분수용", #REF!="불가"), TRUE, FALSE)</formula>
    </cfRule>
  </conditionalFormatting>
  <conditionalFormatting sqref="Q7:Q88 O7:O88">
    <cfRule type="expression" dxfId="115" priority="41">
      <formula>IF(#REF!="제외", TRUE, FALSE)</formula>
    </cfRule>
    <cfRule type="expression" dxfId="114" priority="42">
      <formula>IF(OR(#REF!="부분수용", #REF!="불가"), TRUE, FALSE)</formula>
    </cfRule>
  </conditionalFormatting>
  <conditionalFormatting sqref="M7:N88 K7:K88">
    <cfRule type="expression" dxfId="113" priority="39">
      <formula>IF(#REF!="제외", TRUE, FALSE)</formula>
    </cfRule>
    <cfRule type="expression" dxfId="112" priority="40">
      <formula>IF(OR(#REF!="부분수용", #REF!="불가"), TRUE, FALSE)</formula>
    </cfRule>
  </conditionalFormatting>
  <conditionalFormatting sqref="J7:J88">
    <cfRule type="expression" dxfId="111" priority="35">
      <formula>IF(#REF!="제외", TRUE, FALSE)</formula>
    </cfRule>
    <cfRule type="expression" dxfId="110" priority="36">
      <formula>IF(OR(#REF!="부분수용", #REF!="불가"), TRUE, FALSE)</formula>
    </cfRule>
  </conditionalFormatting>
  <conditionalFormatting sqref="L7:L88">
    <cfRule type="expression" dxfId="109" priority="31">
      <formula>IF(#REF!="제외", TRUE, FALSE)</formula>
    </cfRule>
    <cfRule type="expression" dxfId="108" priority="32">
      <formula>IF(OR(#REF!="부분수용", #REF!="불가"), TRUE, FALSE)</formula>
    </cfRule>
  </conditionalFormatting>
  <conditionalFormatting sqref="P7:P88">
    <cfRule type="expression" dxfId="107" priority="29">
      <formula>IF(#REF!="제외", TRUE, FALSE)</formula>
    </cfRule>
    <cfRule type="expression" dxfId="106" priority="30">
      <formula>IF(OR(#REF!="부분수용", #REF!="불가"), TRUE, FALSE)</formula>
    </cfRule>
  </conditionalFormatting>
  <conditionalFormatting sqref="R7:R88">
    <cfRule type="expression" dxfId="105" priority="25">
      <formula>IF($J7="제외", TRUE, FALSE)</formula>
    </cfRule>
    <cfRule type="expression" dxfId="104" priority="26">
      <formula>IF(OR($J7="부분수용", $J7="불가"), TRUE, FALSE)</formula>
    </cfRule>
  </conditionalFormatting>
  <conditionalFormatting sqref="A6:E6 C7 A7">
    <cfRule type="expression" dxfId="103" priority="13">
      <formula>IF($J6="제외", TRUE, FALSE)</formula>
    </cfRule>
    <cfRule type="expression" dxfId="102" priority="14">
      <formula>IF(OR($J6="부분수용", $J6="불가"), TRUE, FALSE)</formula>
    </cfRule>
  </conditionalFormatting>
  <conditionalFormatting sqref="R6:T6">
    <cfRule type="expression" dxfId="101" priority="11">
      <formula>IF($J6="제외", TRUE, FALSE)</formula>
    </cfRule>
    <cfRule type="expression" dxfId="100" priority="12">
      <formula>IF(OR($J6="부분수용", $J6="불가"), TRUE, FALSE)</formula>
    </cfRule>
  </conditionalFormatting>
  <conditionalFormatting sqref="D7:F7">
    <cfRule type="expression" dxfId="99" priority="7">
      <formula>IF($J7="제외", TRUE, FALSE)</formula>
    </cfRule>
    <cfRule type="expression" dxfId="98" priority="8">
      <formula>IF(OR($J7="부분수용", $J7="불가"), TRUE, FALSE)</formula>
    </cfRule>
  </conditionalFormatting>
  <conditionalFormatting sqref="B7">
    <cfRule type="expression" dxfId="97" priority="1">
      <formula>#REF!="중복"</formula>
    </cfRule>
    <cfRule type="expression" dxfId="96" priority="2">
      <formula>#REF!="확인중"</formula>
    </cfRule>
    <cfRule type="expression" dxfId="95" priority="3">
      <formula>#REF!="제외"</formula>
    </cfRule>
    <cfRule type="expression" dxfId="94" priority="4">
      <formula>#REF!="불가"</formula>
    </cfRule>
    <cfRule type="expression" dxfId="93" priority="5">
      <formula>#REF!="부분수용"</formula>
    </cfRule>
    <cfRule type="expression" dxfId="92" priority="6">
      <formula>#REF!="수용"</formula>
    </cfRule>
  </conditionalFormatting>
  <dataValidations count="4">
    <dataValidation type="list" allowBlank="1" showInputMessage="1" showErrorMessage="1" sqref="R6" xr:uid="{8605C346-596A-46C8-A404-B325FE5B9399}">
      <formula1>"기능,비기능(품질),인터페이스,기술인프라,기타"</formula1>
    </dataValidation>
    <dataValidation type="list" allowBlank="1" showInputMessage="1" showErrorMessage="1" sqref="S6" xr:uid="{CC786B5E-B170-4263-B83A-860D432BF885}">
      <formula1>"수용,부분수용,불가,제외"</formula1>
    </dataValidation>
    <dataValidation type="list" allowBlank="1" showInputMessage="1" showErrorMessage="1" sqref="I6" xr:uid="{7505A274-34C1-4D5B-A3AD-E2D39FF91D74}">
      <formula1>"추가,내용변경,삭제"</formula1>
    </dataValidation>
    <dataValidation type="list" allowBlank="1" showInputMessage="1" showErrorMessage="1" sqref="J6" xr:uid="{1AD33DF1-0ADD-4931-9E32-864F51D9F022}">
      <formula1>"완료,진행중"</formula1>
    </dataValidation>
  </dataValidations>
  <pageMargins left="0.59055118110236227" right="0.59055118110236227" top="0.78740157480314965" bottom="0.51181102362204722" header="0.51181102362204722" footer="0.31496062992125984"/>
  <pageSetup paperSize="9" scale="50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60ED-34B0-4A99-8B5A-82ACDB9EA962}">
  <sheetPr>
    <pageSetUpPr fitToPage="1"/>
  </sheetPr>
  <dimension ref="A1:W14"/>
  <sheetViews>
    <sheetView showGridLines="0" zoomScaleNormal="100" zoomScaleSheetLayoutView="130" workbookViewId="0">
      <pane xSplit="6" ySplit="5" topLeftCell="L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E15" sqref="E15"/>
    </sheetView>
  </sheetViews>
  <sheetFormatPr defaultColWidth="8.9140625" defaultRowHeight="16"/>
  <cols>
    <col min="1" max="1" width="3.4140625" style="9" customWidth="1"/>
    <col min="2" max="2" width="11.6640625" style="9" bestFit="1" customWidth="1"/>
    <col min="3" max="3" width="10.58203125" style="9" bestFit="1" customWidth="1"/>
    <col min="4" max="4" width="16.08203125" style="7" customWidth="1"/>
    <col min="5" max="5" width="20.83203125" style="7" customWidth="1"/>
    <col min="6" max="6" width="28.83203125" style="7" customWidth="1"/>
    <col min="7" max="8" width="28.83203125" style="8" customWidth="1"/>
    <col min="9" max="9" width="6.4140625" style="9" customWidth="1"/>
    <col min="10" max="10" width="8" style="9" customWidth="1"/>
    <col min="11" max="12" width="10.08203125" style="7" customWidth="1"/>
    <col min="13" max="13" width="6.4140625" style="7" customWidth="1"/>
    <col min="14" max="14" width="11.6640625" style="7" customWidth="1"/>
    <col min="15" max="15" width="29.9140625" style="7" customWidth="1"/>
    <col min="16" max="17" width="6.4140625" style="9" customWidth="1"/>
    <col min="18" max="18" width="4.25" style="9" customWidth="1"/>
    <col min="19" max="19" width="4.4140625" style="9" bestFit="1" customWidth="1"/>
    <col min="20" max="21" width="10.66406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5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Outlook Add-in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179</v>
      </c>
      <c r="V2" s="22" t="s">
        <v>35</v>
      </c>
      <c r="W2" s="23">
        <v>46126</v>
      </c>
    </row>
    <row r="3" spans="1:23" s="6" customFormat="1" ht="3" customHeight="1">
      <c r="A3" s="10"/>
      <c r="B3" s="10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17.5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44" thickBot="1">
      <c r="A5" s="14" t="s">
        <v>17</v>
      </c>
      <c r="B5" s="25" t="s">
        <v>39</v>
      </c>
      <c r="C5" s="15" t="s">
        <v>0</v>
      </c>
      <c r="D5" s="25" t="s">
        <v>180</v>
      </c>
      <c r="E5" s="25" t="s">
        <v>27</v>
      </c>
      <c r="F5" s="25" t="s">
        <v>28</v>
      </c>
      <c r="G5" s="25" t="s">
        <v>16</v>
      </c>
      <c r="H5" s="25" t="s">
        <v>18</v>
      </c>
      <c r="I5" s="25" t="s">
        <v>57</v>
      </c>
      <c r="J5" s="25" t="s">
        <v>66</v>
      </c>
      <c r="K5" s="25" t="s">
        <v>62</v>
      </c>
      <c r="L5" s="25" t="s">
        <v>65</v>
      </c>
      <c r="M5" s="25" t="s">
        <v>58</v>
      </c>
      <c r="N5" s="25" t="s">
        <v>64</v>
      </c>
      <c r="O5" s="25" t="s">
        <v>59</v>
      </c>
      <c r="P5" s="25" t="s">
        <v>60</v>
      </c>
      <c r="Q5" s="25" t="s">
        <v>61</v>
      </c>
      <c r="R5" s="25" t="s">
        <v>67</v>
      </c>
      <c r="S5" s="25" t="s">
        <v>19</v>
      </c>
      <c r="T5" s="25" t="s">
        <v>33</v>
      </c>
      <c r="U5" s="25" t="s">
        <v>32</v>
      </c>
      <c r="V5" s="25" t="s">
        <v>20</v>
      </c>
      <c r="W5" s="16" t="s">
        <v>21</v>
      </c>
    </row>
    <row r="6" spans="1:23" ht="43.5">
      <c r="A6" s="64">
        <f>ROW($A6)-5</f>
        <v>1</v>
      </c>
      <c r="B6" s="43" t="s">
        <v>161</v>
      </c>
      <c r="C6" s="65" t="s">
        <v>255</v>
      </c>
      <c r="D6" s="66" t="s">
        <v>162</v>
      </c>
      <c r="E6" s="67" t="s">
        <v>163</v>
      </c>
      <c r="F6" s="67" t="s">
        <v>164</v>
      </c>
      <c r="G6" s="41"/>
      <c r="H6" s="41"/>
      <c r="I6" s="24"/>
      <c r="J6" s="24"/>
      <c r="K6" s="24"/>
      <c r="L6" s="24"/>
      <c r="M6" s="24"/>
      <c r="N6" s="24"/>
      <c r="O6" s="41"/>
      <c r="P6" s="24"/>
      <c r="Q6" s="24"/>
      <c r="R6" s="43" t="s">
        <v>1</v>
      </c>
      <c r="S6" s="43" t="s">
        <v>6</v>
      </c>
      <c r="T6" s="43" t="s">
        <v>151</v>
      </c>
      <c r="U6" s="41"/>
      <c r="V6" s="41"/>
      <c r="W6" s="41"/>
    </row>
    <row r="7" spans="1:23" ht="32">
      <c r="A7" s="64">
        <f>ROW($A7)-5</f>
        <v>2</v>
      </c>
      <c r="B7" s="43" t="s">
        <v>161</v>
      </c>
      <c r="C7" s="52" t="s">
        <v>252</v>
      </c>
      <c r="D7" s="48" t="s">
        <v>253</v>
      </c>
      <c r="E7" s="48" t="s">
        <v>254</v>
      </c>
      <c r="F7" s="48" t="s">
        <v>256</v>
      </c>
      <c r="G7" s="48"/>
      <c r="H7" s="48"/>
      <c r="I7" s="59"/>
      <c r="J7" s="59"/>
      <c r="K7" s="48"/>
      <c r="L7" s="48"/>
      <c r="M7" s="48"/>
      <c r="N7" s="48"/>
      <c r="O7" s="48"/>
      <c r="P7" s="59"/>
      <c r="Q7" s="59"/>
      <c r="R7" s="59"/>
      <c r="S7" s="59"/>
      <c r="T7" s="48"/>
      <c r="U7" s="48"/>
      <c r="V7" s="59"/>
      <c r="W7" s="48"/>
    </row>
    <row r="8" spans="1:23">
      <c r="D8" s="8"/>
      <c r="E8" s="8"/>
      <c r="F8" s="8"/>
      <c r="K8" s="8"/>
      <c r="L8" s="8"/>
      <c r="M8" s="8"/>
      <c r="N8" s="8"/>
      <c r="O8" s="8"/>
      <c r="T8" s="8"/>
      <c r="U8" s="8"/>
      <c r="W8" s="8"/>
    </row>
    <row r="9" spans="1:23">
      <c r="D9" s="8"/>
      <c r="E9" s="8"/>
      <c r="F9" s="8"/>
      <c r="K9" s="8"/>
      <c r="L9" s="8"/>
      <c r="M9" s="8"/>
      <c r="N9" s="8"/>
      <c r="O9" s="8"/>
      <c r="T9" s="8"/>
      <c r="U9" s="8"/>
      <c r="W9" s="8"/>
    </row>
    <row r="10" spans="1:23">
      <c r="D10" s="8"/>
      <c r="E10" s="8"/>
      <c r="F10" s="8"/>
      <c r="K10" s="8"/>
      <c r="L10" s="8"/>
      <c r="M10" s="8"/>
      <c r="N10" s="8"/>
      <c r="O10" s="8"/>
      <c r="T10" s="8"/>
      <c r="U10" s="8"/>
      <c r="W10" s="8"/>
    </row>
    <row r="11" spans="1:23">
      <c r="D11" s="8"/>
      <c r="E11" s="8"/>
      <c r="F11" s="8"/>
      <c r="K11" s="8"/>
      <c r="L11" s="8"/>
      <c r="M11" s="8"/>
      <c r="N11" s="8"/>
      <c r="O11" s="8"/>
      <c r="T11" s="8"/>
      <c r="U11" s="8"/>
      <c r="W11" s="8"/>
    </row>
    <row r="12" spans="1:23">
      <c r="D12" s="8"/>
      <c r="E12" s="8"/>
      <c r="F12" s="8"/>
      <c r="K12" s="8"/>
      <c r="L12" s="8"/>
      <c r="M12" s="8"/>
      <c r="N12" s="8"/>
      <c r="O12" s="8"/>
      <c r="T12" s="8"/>
      <c r="U12" s="8"/>
      <c r="W12" s="8"/>
    </row>
    <row r="13" spans="1:23">
      <c r="D13" s="8"/>
      <c r="E13" s="8"/>
      <c r="F13" s="8"/>
      <c r="K13" s="8"/>
      <c r="L13" s="8"/>
      <c r="M13" s="8"/>
      <c r="N13" s="8"/>
      <c r="O13" s="8"/>
      <c r="T13" s="8"/>
      <c r="U13" s="8"/>
      <c r="W13" s="8"/>
    </row>
    <row r="14" spans="1:23">
      <c r="D14" s="8"/>
      <c r="E14" s="8"/>
      <c r="F14" s="8"/>
      <c r="K14" s="8"/>
      <c r="L14" s="8"/>
      <c r="M14" s="8"/>
      <c r="N14" s="8"/>
      <c r="O14" s="8"/>
      <c r="T14" s="8"/>
      <c r="U14" s="8"/>
      <c r="W14" s="8"/>
    </row>
  </sheetData>
  <mergeCells count="5">
    <mergeCell ref="R4:W4"/>
    <mergeCell ref="A1:N1"/>
    <mergeCell ref="A2:E2"/>
    <mergeCell ref="A4:H4"/>
    <mergeCell ref="I4:Q4"/>
  </mergeCells>
  <phoneticPr fontId="18" type="noConversion"/>
  <conditionalFormatting sqref="A8:H88 G7:H7">
    <cfRule type="expression" dxfId="91" priority="111">
      <formula>IF($J7="제외", TRUE, FALSE)</formula>
    </cfRule>
    <cfRule type="expression" dxfId="90" priority="112">
      <formula>IF(OR($J7="부분수용", $J7="불가"), TRUE, FALSE)</formula>
    </cfRule>
  </conditionalFormatting>
  <conditionalFormatting sqref="S7:S88 U6:W88">
    <cfRule type="expression" dxfId="89" priority="55">
      <formula>IF($S6="제외", TRUE, FALSE)</formula>
    </cfRule>
    <cfRule type="expression" dxfId="88" priority="56">
      <formula>IF(OR($S6="부분수용", $S6="불가"), TRUE, FALSE)</formula>
    </cfRule>
  </conditionalFormatting>
  <conditionalFormatting sqref="T7:T88">
    <cfRule type="expression" dxfId="87" priority="53">
      <formula>IF($S7="제외", TRUE, FALSE)</formula>
    </cfRule>
    <cfRule type="expression" dxfId="86" priority="54">
      <formula>IF(OR($S7="부분수용", $S7="불가"), TRUE, FALSE)</formula>
    </cfRule>
  </conditionalFormatting>
  <conditionalFormatting sqref="I7:I88">
    <cfRule type="expression" dxfId="85" priority="51">
      <formula>IF(#REF!="제외", TRUE, FALSE)</formula>
    </cfRule>
    <cfRule type="expression" dxfId="84" priority="52">
      <formula>IF(OR(#REF!="부분수용", #REF!="불가"), TRUE, FALSE)</formula>
    </cfRule>
  </conditionalFormatting>
  <conditionalFormatting sqref="Q7:Q88 O7:O88">
    <cfRule type="expression" dxfId="83" priority="49">
      <formula>IF(#REF!="제외", TRUE, FALSE)</formula>
    </cfRule>
    <cfRule type="expression" dxfId="82" priority="50">
      <formula>IF(OR(#REF!="부분수용", #REF!="불가"), TRUE, FALSE)</formula>
    </cfRule>
  </conditionalFormatting>
  <conditionalFormatting sqref="M7:N88 K7:K88">
    <cfRule type="expression" dxfId="81" priority="47">
      <formula>IF(#REF!="제외", TRUE, FALSE)</formula>
    </cfRule>
    <cfRule type="expression" dxfId="80" priority="48">
      <formula>IF(OR(#REF!="부분수용", #REF!="불가"), TRUE, FALSE)</formula>
    </cfRule>
  </conditionalFormatting>
  <conditionalFormatting sqref="L7:L88">
    <cfRule type="expression" dxfId="79" priority="39">
      <formula>IF(#REF!="제외", TRUE, FALSE)</formula>
    </cfRule>
    <cfRule type="expression" dxfId="78" priority="40">
      <formula>IF(OR(#REF!="부분수용", #REF!="불가"), TRUE, FALSE)</formula>
    </cfRule>
  </conditionalFormatting>
  <conditionalFormatting sqref="J7:J88">
    <cfRule type="expression" dxfId="77" priority="43">
      <formula>IF(#REF!="제외", TRUE, FALSE)</formula>
    </cfRule>
    <cfRule type="expression" dxfId="76" priority="44">
      <formula>IF(OR(#REF!="부분수용", #REF!="불가"), TRUE, FALSE)</formula>
    </cfRule>
  </conditionalFormatting>
  <conditionalFormatting sqref="P7:P88">
    <cfRule type="expression" dxfId="75" priority="37">
      <formula>IF(#REF!="제외", TRUE, FALSE)</formula>
    </cfRule>
    <cfRule type="expression" dxfId="74" priority="38">
      <formula>IF(OR(#REF!="부분수용", #REF!="불가"), TRUE, FALSE)</formula>
    </cfRule>
  </conditionalFormatting>
  <conditionalFormatting sqref="R7:R88">
    <cfRule type="expression" dxfId="73" priority="33">
      <formula>IF($J7="제외", TRUE, FALSE)</formula>
    </cfRule>
    <cfRule type="expression" dxfId="72" priority="34">
      <formula>IF(OR($J7="부분수용", $J7="불가"), TRUE, FALSE)</formula>
    </cfRule>
  </conditionalFormatting>
  <conditionalFormatting sqref="G6:Q6">
    <cfRule type="expression" dxfId="71" priority="17">
      <formula>IF($S6="제외", TRUE, FALSE)</formula>
    </cfRule>
    <cfRule type="expression" dxfId="70" priority="18">
      <formula>IF(OR($S6="부분수용", $S6="불가"), TRUE, FALSE)</formula>
    </cfRule>
  </conditionalFormatting>
  <conditionalFormatting sqref="A6:F6 C7 A7">
    <cfRule type="expression" dxfId="69" priority="15">
      <formula>IF($J6="제외", TRUE, FALSE)</formula>
    </cfRule>
    <cfRule type="expression" dxfId="68" priority="16">
      <formula>IF(OR($J6="부분수용", $J6="불가"), TRUE, FALSE)</formula>
    </cfRule>
  </conditionalFormatting>
  <conditionalFormatting sqref="R6:T6">
    <cfRule type="expression" dxfId="67" priority="13">
      <formula>IF($J6="제외", TRUE, FALSE)</formula>
    </cfRule>
    <cfRule type="expression" dxfId="66" priority="14">
      <formula>IF(OR($J6="부분수용", $J6="불가"), TRUE, FALSE)</formula>
    </cfRule>
  </conditionalFormatting>
  <conditionalFormatting sqref="D7:F7">
    <cfRule type="expression" dxfId="65" priority="9">
      <formula>IF($J7="제외", TRUE, FALSE)</formula>
    </cfRule>
    <cfRule type="expression" dxfId="64" priority="10">
      <formula>IF(OR($J7="부분수용", $J7="불가"), TRUE, FALSE)</formula>
    </cfRule>
  </conditionalFormatting>
  <conditionalFormatting sqref="B7">
    <cfRule type="expression" dxfId="63" priority="1">
      <formula>IF($J7="제외", TRUE, FALSE)</formula>
    </cfRule>
    <cfRule type="expression" dxfId="62" priority="2">
      <formula>IF(OR($J7="부분수용", $J7="불가"), TRUE, FALSE)</formula>
    </cfRule>
  </conditionalFormatting>
  <dataValidations count="4">
    <dataValidation type="list" allowBlank="1" showInputMessage="1" showErrorMessage="1" sqref="R6" xr:uid="{5A59F340-ED6C-4EAA-A221-6DAB4562A373}">
      <formula1>"기능,비기능(품질),인터페이스,기술인프라,기타"</formula1>
    </dataValidation>
    <dataValidation type="list" allowBlank="1" showInputMessage="1" showErrorMessage="1" sqref="S6" xr:uid="{33BB2014-F804-4942-A9F3-086E4E133655}">
      <formula1>"수용,부분수용,불가,제외"</formula1>
    </dataValidation>
    <dataValidation type="list" allowBlank="1" showInputMessage="1" showErrorMessage="1" sqref="I6" xr:uid="{DBA1F8B9-6AD1-4B3F-AA5C-1B7CAC75E5A3}">
      <formula1>"추가,내용변경,삭제"</formula1>
    </dataValidation>
    <dataValidation type="list" allowBlank="1" showInputMessage="1" showErrorMessage="1" sqref="J6" xr:uid="{8B35AEFD-BE67-4AB2-9554-5803891B6AE3}">
      <formula1>"완료,진행중"</formula1>
    </dataValidation>
  </dataValidations>
  <pageMargins left="0.59055118110236227" right="0.59055118110236227" top="0.78740157480314965" bottom="0.51181102362204722" header="0.51181102362204722" footer="0.31496062992125984"/>
  <pageSetup paperSize="9" scale="50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DE80-8001-4732-87D4-83D25D66FF4B}">
  <sheetPr>
    <pageSetUpPr fitToPage="1"/>
  </sheetPr>
  <dimension ref="A1:W16"/>
  <sheetViews>
    <sheetView showGridLines="0" zoomScaleNormal="100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G13" sqref="G13"/>
    </sheetView>
  </sheetViews>
  <sheetFormatPr defaultColWidth="8.9140625" defaultRowHeight="16"/>
  <cols>
    <col min="1" max="1" width="3.4140625" style="9" customWidth="1"/>
    <col min="2" max="2" width="9.5" style="9" customWidth="1"/>
    <col min="3" max="3" width="15.33203125" style="9" customWidth="1"/>
    <col min="4" max="4" width="14.33203125" style="7" customWidth="1"/>
    <col min="5" max="5" width="20.83203125" style="7" customWidth="1"/>
    <col min="6" max="6" width="28.83203125" style="7" customWidth="1"/>
    <col min="7" max="8" width="28.83203125" style="8" customWidth="1"/>
    <col min="9" max="9" width="6.4140625" style="9" customWidth="1"/>
    <col min="10" max="10" width="8.4140625" style="9" customWidth="1"/>
    <col min="11" max="12" width="10.08203125" style="7" customWidth="1"/>
    <col min="13" max="13" width="6.4140625" style="7" customWidth="1"/>
    <col min="14" max="14" width="9.6640625" style="7" customWidth="1"/>
    <col min="15" max="15" width="29.9140625" style="7" customWidth="1"/>
    <col min="16" max="16" width="17.33203125" style="9" customWidth="1"/>
    <col min="17" max="17" width="11.6640625" style="9" customWidth="1"/>
    <col min="18" max="18" width="4.58203125" style="9" customWidth="1"/>
    <col min="19" max="19" width="4.4140625" style="9" bestFit="1" customWidth="1"/>
    <col min="20" max="20" width="10.6640625" style="7" customWidth="1"/>
    <col min="21" max="21" width="14.582031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112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조직도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179</v>
      </c>
      <c r="V2" s="22" t="s">
        <v>35</v>
      </c>
      <c r="W2" s="23">
        <v>46126</v>
      </c>
    </row>
    <row r="3" spans="1:23" s="6" customFormat="1" ht="3" customHeight="1">
      <c r="A3" s="10"/>
      <c r="B3" s="10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17.5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29.5" thickBot="1">
      <c r="A5" s="14" t="s">
        <v>17</v>
      </c>
      <c r="B5" s="25" t="s">
        <v>39</v>
      </c>
      <c r="C5" s="15" t="s">
        <v>0</v>
      </c>
      <c r="D5" s="25" t="s">
        <v>180</v>
      </c>
      <c r="E5" s="25" t="s">
        <v>27</v>
      </c>
      <c r="F5" s="25" t="s">
        <v>28</v>
      </c>
      <c r="G5" s="25" t="s">
        <v>16</v>
      </c>
      <c r="H5" s="25" t="s">
        <v>18</v>
      </c>
      <c r="I5" s="25" t="s">
        <v>57</v>
      </c>
      <c r="J5" s="25" t="s">
        <v>66</v>
      </c>
      <c r="K5" s="25" t="s">
        <v>62</v>
      </c>
      <c r="L5" s="25" t="s">
        <v>65</v>
      </c>
      <c r="M5" s="25" t="s">
        <v>58</v>
      </c>
      <c r="N5" s="25" t="s">
        <v>64</v>
      </c>
      <c r="O5" s="25" t="s">
        <v>59</v>
      </c>
      <c r="P5" s="25" t="s">
        <v>60</v>
      </c>
      <c r="Q5" s="25" t="s">
        <v>61</v>
      </c>
      <c r="R5" s="25" t="s">
        <v>67</v>
      </c>
      <c r="S5" s="25" t="s">
        <v>19</v>
      </c>
      <c r="T5" s="25" t="s">
        <v>33</v>
      </c>
      <c r="U5" s="25" t="s">
        <v>32</v>
      </c>
      <c r="V5" s="25" t="s">
        <v>20</v>
      </c>
      <c r="W5" s="16" t="s">
        <v>21</v>
      </c>
    </row>
    <row r="6" spans="1:23" ht="43.5">
      <c r="A6" s="64">
        <f>ROW($A6)-5</f>
        <v>1</v>
      </c>
      <c r="B6" s="43" t="s">
        <v>165</v>
      </c>
      <c r="C6" s="65" t="s">
        <v>260</v>
      </c>
      <c r="D6" s="66" t="s">
        <v>166</v>
      </c>
      <c r="E6" s="67" t="s">
        <v>167</v>
      </c>
      <c r="F6" s="55" t="s">
        <v>168</v>
      </c>
      <c r="G6" s="41"/>
      <c r="H6" s="41"/>
      <c r="I6" s="24"/>
      <c r="J6" s="24" t="s">
        <v>183</v>
      </c>
      <c r="K6" s="24">
        <v>20260415</v>
      </c>
      <c r="L6" s="24">
        <v>20260415</v>
      </c>
      <c r="M6" s="24"/>
      <c r="N6" s="24"/>
      <c r="O6" s="72" t="s">
        <v>181</v>
      </c>
      <c r="P6" s="24" t="s">
        <v>182</v>
      </c>
      <c r="Q6" s="24"/>
      <c r="R6" s="43" t="s">
        <v>1</v>
      </c>
      <c r="S6" s="43" t="s">
        <v>6</v>
      </c>
      <c r="T6" s="43" t="s">
        <v>152</v>
      </c>
      <c r="U6" s="41" t="s">
        <v>182</v>
      </c>
      <c r="V6" s="41"/>
      <c r="W6" s="41"/>
    </row>
    <row r="7" spans="1:23" ht="43.5">
      <c r="A7" s="64">
        <f>ROW($A7)-5</f>
        <v>2</v>
      </c>
      <c r="B7" s="51" t="s">
        <v>165</v>
      </c>
      <c r="C7" s="65" t="s">
        <v>52</v>
      </c>
      <c r="D7" s="68" t="s">
        <v>165</v>
      </c>
      <c r="E7" s="69" t="s">
        <v>169</v>
      </c>
      <c r="F7" s="70" t="s">
        <v>170</v>
      </c>
      <c r="G7" s="41"/>
      <c r="H7" s="41"/>
      <c r="I7" s="24"/>
      <c r="J7" s="24"/>
      <c r="K7" s="24"/>
      <c r="L7" s="24"/>
      <c r="M7" s="24"/>
      <c r="N7" s="24"/>
      <c r="O7" s="41"/>
      <c r="P7" s="24"/>
      <c r="Q7" s="24"/>
      <c r="R7" s="51" t="s">
        <v>1</v>
      </c>
      <c r="S7" s="51" t="s">
        <v>6</v>
      </c>
      <c r="T7" s="43" t="s">
        <v>154</v>
      </c>
      <c r="U7" s="41"/>
      <c r="V7" s="41"/>
      <c r="W7" s="41"/>
    </row>
    <row r="8" spans="1:23" ht="43.5">
      <c r="A8" s="64">
        <f>ROW($A8)-5</f>
        <v>3</v>
      </c>
      <c r="B8" s="51" t="s">
        <v>165</v>
      </c>
      <c r="C8" s="65" t="s">
        <v>53</v>
      </c>
      <c r="D8" s="68" t="s">
        <v>165</v>
      </c>
      <c r="E8" s="69" t="s">
        <v>171</v>
      </c>
      <c r="F8" s="70" t="s">
        <v>172</v>
      </c>
      <c r="G8" s="41"/>
      <c r="H8" s="41"/>
      <c r="I8" s="24"/>
      <c r="J8" s="24"/>
      <c r="K8" s="24"/>
      <c r="L8" s="24"/>
      <c r="M8" s="24"/>
      <c r="N8" s="24"/>
      <c r="O8" s="41"/>
      <c r="P8" s="24"/>
      <c r="Q8" s="24"/>
      <c r="R8" s="51" t="s">
        <v>1</v>
      </c>
      <c r="S8" s="51" t="s">
        <v>6</v>
      </c>
      <c r="T8" s="43" t="s">
        <v>154</v>
      </c>
      <c r="U8" s="41"/>
      <c r="V8" s="41"/>
      <c r="W8" s="41"/>
    </row>
    <row r="9" spans="1:23" ht="48">
      <c r="A9" s="43">
        <f>ROW($A9)-5</f>
        <v>4</v>
      </c>
      <c r="B9" s="51" t="s">
        <v>165</v>
      </c>
      <c r="C9" s="52" t="s">
        <v>257</v>
      </c>
      <c r="D9" s="48" t="s">
        <v>258</v>
      </c>
      <c r="E9" s="48" t="s">
        <v>259</v>
      </c>
      <c r="F9" s="48" t="s">
        <v>261</v>
      </c>
      <c r="G9" s="48"/>
      <c r="H9" s="48"/>
      <c r="I9" s="59"/>
      <c r="J9" s="59"/>
      <c r="K9" s="48"/>
      <c r="L9" s="48"/>
      <c r="M9" s="48"/>
      <c r="N9" s="48"/>
      <c r="O9" s="48"/>
      <c r="P9" s="59"/>
      <c r="Q9" s="59"/>
      <c r="R9" s="59"/>
      <c r="S9" s="59"/>
      <c r="T9" s="48"/>
      <c r="U9" s="48"/>
      <c r="V9" s="59"/>
      <c r="W9" s="48"/>
    </row>
    <row r="10" spans="1:23">
      <c r="D10" s="8"/>
      <c r="E10" s="8"/>
      <c r="F10" s="8"/>
      <c r="K10" s="8"/>
      <c r="L10" s="8"/>
      <c r="M10" s="8"/>
      <c r="N10" s="8"/>
      <c r="O10" s="8"/>
      <c r="T10" s="8"/>
      <c r="U10" s="8"/>
      <c r="W10" s="8"/>
    </row>
    <row r="11" spans="1:23">
      <c r="D11" s="8"/>
      <c r="E11" s="8"/>
      <c r="F11" s="8"/>
      <c r="K11" s="8"/>
      <c r="L11" s="8"/>
      <c r="M11" s="8"/>
      <c r="N11" s="8"/>
      <c r="O11" s="8"/>
      <c r="T11" s="8"/>
      <c r="U11" s="8"/>
      <c r="W11" s="8"/>
    </row>
    <row r="12" spans="1:23">
      <c r="D12" s="8"/>
      <c r="E12" s="8"/>
      <c r="F12" s="8"/>
      <c r="K12" s="8"/>
      <c r="L12" s="8"/>
      <c r="M12" s="8"/>
      <c r="N12" s="8"/>
      <c r="O12" s="8"/>
      <c r="T12" s="8"/>
      <c r="U12" s="8"/>
      <c r="W12" s="8"/>
    </row>
    <row r="13" spans="1:23">
      <c r="D13" s="8"/>
      <c r="E13" s="8"/>
      <c r="F13" s="8"/>
      <c r="K13" s="8"/>
      <c r="L13" s="8"/>
      <c r="M13" s="8"/>
      <c r="N13" s="8"/>
      <c r="O13" s="8"/>
      <c r="T13" s="8"/>
      <c r="U13" s="8"/>
      <c r="W13" s="8"/>
    </row>
    <row r="14" spans="1:23">
      <c r="D14" s="8"/>
      <c r="E14" s="8"/>
      <c r="F14" s="8"/>
      <c r="K14" s="8"/>
      <c r="L14" s="8"/>
      <c r="M14" s="8"/>
      <c r="N14" s="8"/>
      <c r="O14" s="8"/>
      <c r="T14" s="8"/>
      <c r="U14" s="8"/>
      <c r="W14" s="8"/>
    </row>
    <row r="15" spans="1:23">
      <c r="D15" s="8"/>
      <c r="E15" s="8"/>
      <c r="F15" s="8"/>
      <c r="K15" s="8"/>
      <c r="L15" s="8"/>
      <c r="M15" s="8"/>
      <c r="N15" s="8"/>
      <c r="O15" s="8"/>
      <c r="T15" s="8"/>
      <c r="U15" s="8"/>
      <c r="W15" s="8"/>
    </row>
    <row r="16" spans="1:23">
      <c r="D16" s="8"/>
      <c r="E16" s="8"/>
      <c r="F16" s="8"/>
      <c r="K16" s="8"/>
      <c r="L16" s="8"/>
      <c r="M16" s="8"/>
      <c r="N16" s="8"/>
      <c r="O16" s="8"/>
      <c r="T16" s="8"/>
      <c r="U16" s="8"/>
      <c r="W16" s="8"/>
    </row>
  </sheetData>
  <mergeCells count="5">
    <mergeCell ref="R4:W4"/>
    <mergeCell ref="A1:O1"/>
    <mergeCell ref="A2:E2"/>
    <mergeCell ref="A4:H4"/>
    <mergeCell ref="I4:Q4"/>
  </mergeCells>
  <phoneticPr fontId="18" type="noConversion"/>
  <conditionalFormatting sqref="A10:H90 G9:H9">
    <cfRule type="expression" dxfId="61" priority="87">
      <formula>IF($J9="제외", TRUE, FALSE)</formula>
    </cfRule>
    <cfRule type="expression" dxfId="60" priority="88">
      <formula>IF(OR($J9="부분수용", $J9="불가"), TRUE, FALSE)</formula>
    </cfRule>
  </conditionalFormatting>
  <conditionalFormatting sqref="S9:S90 U6:W90">
    <cfRule type="expression" dxfId="59" priority="69">
      <formula>IF($S6="제외", TRUE, FALSE)</formula>
    </cfRule>
    <cfRule type="expression" dxfId="58" priority="70">
      <formula>IF(OR($S6="부분수용", $S6="불가"), TRUE, FALSE)</formula>
    </cfRule>
  </conditionalFormatting>
  <conditionalFormatting sqref="T9:T90">
    <cfRule type="expression" dxfId="57" priority="67">
      <formula>IF($S9="제외", TRUE, FALSE)</formula>
    </cfRule>
    <cfRule type="expression" dxfId="56" priority="68">
      <formula>IF(OR($S9="부분수용", $S9="불가"), TRUE, FALSE)</formula>
    </cfRule>
  </conditionalFormatting>
  <conditionalFormatting sqref="I9:I90">
    <cfRule type="expression" dxfId="55" priority="65">
      <formula>IF(#REF!="제외", TRUE, FALSE)</formula>
    </cfRule>
    <cfRule type="expression" dxfId="54" priority="66">
      <formula>IF(OR(#REF!="부분수용", #REF!="불가"), TRUE, FALSE)</formula>
    </cfRule>
  </conditionalFormatting>
  <conditionalFormatting sqref="Q9:Q90 O9:O90">
    <cfRule type="expression" dxfId="53" priority="63">
      <formula>IF(#REF!="제외", TRUE, FALSE)</formula>
    </cfRule>
    <cfRule type="expression" dxfId="52" priority="64">
      <formula>IF(OR(#REF!="부분수용", #REF!="불가"), TRUE, FALSE)</formula>
    </cfRule>
  </conditionalFormatting>
  <conditionalFormatting sqref="M9:N90 K9:K90">
    <cfRule type="expression" dxfId="51" priority="61">
      <formula>IF(#REF!="제외", TRUE, FALSE)</formula>
    </cfRule>
    <cfRule type="expression" dxfId="50" priority="62">
      <formula>IF(OR(#REF!="부분수용", #REF!="불가"), TRUE, FALSE)</formula>
    </cfRule>
  </conditionalFormatting>
  <conditionalFormatting sqref="J9:J90">
    <cfRule type="expression" dxfId="49" priority="57">
      <formula>IF(#REF!="제외", TRUE, FALSE)</formula>
    </cfRule>
    <cfRule type="expression" dxfId="48" priority="58">
      <formula>IF(OR(#REF!="부분수용", #REF!="불가"), TRUE, FALSE)</formula>
    </cfRule>
  </conditionalFormatting>
  <conditionalFormatting sqref="L9:L90">
    <cfRule type="expression" dxfId="47" priority="53">
      <formula>IF(#REF!="제외", TRUE, FALSE)</formula>
    </cfRule>
    <cfRule type="expression" dxfId="46" priority="54">
      <formula>IF(OR(#REF!="부분수용", #REF!="불가"), TRUE, FALSE)</formula>
    </cfRule>
  </conditionalFormatting>
  <conditionalFormatting sqref="P9:P90">
    <cfRule type="expression" dxfId="45" priority="51">
      <formula>IF(#REF!="제외", TRUE, FALSE)</formula>
    </cfRule>
    <cfRule type="expression" dxfId="44" priority="52">
      <formula>IF(OR(#REF!="부분수용", #REF!="불가"), TRUE, FALSE)</formula>
    </cfRule>
  </conditionalFormatting>
  <conditionalFormatting sqref="R9:R90">
    <cfRule type="expression" dxfId="43" priority="47">
      <formula>IF($J9="제외", TRUE, FALSE)</formula>
    </cfRule>
    <cfRule type="expression" dxfId="42" priority="48">
      <formula>IF(OR($J9="부분수용", $J9="불가"), TRUE, FALSE)</formula>
    </cfRule>
  </conditionalFormatting>
  <conditionalFormatting sqref="G6:Q8">
    <cfRule type="expression" dxfId="41" priority="25">
      <formula>IF($S6="제외", TRUE, FALSE)</formula>
    </cfRule>
    <cfRule type="expression" dxfId="40" priority="26">
      <formula>IF(OR($S6="부분수용", $S6="불가"), TRUE, FALSE)</formula>
    </cfRule>
  </conditionalFormatting>
  <conditionalFormatting sqref="A6:F8 A9:C9">
    <cfRule type="expression" dxfId="39" priority="24">
      <formula>IF(OR($J6="부분수용", $J6="불가"), TRUE, FALSE)</formula>
    </cfRule>
  </conditionalFormatting>
  <conditionalFormatting sqref="D7:F8 B7:B9">
    <cfRule type="expression" dxfId="38" priority="21">
      <formula>IF($J7="제외", TRUE, FALSE)</formula>
    </cfRule>
    <cfRule type="expression" dxfId="37" priority="22">
      <formula>IF(OR($J7="부분수용", $J7="불가"), TRUE, FALSE)</formula>
    </cfRule>
  </conditionalFormatting>
  <conditionalFormatting sqref="A6:F8 A9:C9">
    <cfRule type="expression" dxfId="36" priority="23">
      <formula>IF($J6="제외", TRUE, FALSE)</formula>
    </cfRule>
  </conditionalFormatting>
  <conditionalFormatting sqref="R6:T8">
    <cfRule type="expression" dxfId="35" priority="20">
      <formula>IF(OR($J6="부분수용", $J6="불가"), TRUE, FALSE)</formula>
    </cfRule>
  </conditionalFormatting>
  <conditionalFormatting sqref="R6:S8">
    <cfRule type="expression" dxfId="34" priority="17">
      <formula>IF($J6="제외", TRUE, FALSE)</formula>
    </cfRule>
    <cfRule type="expression" dxfId="33" priority="18">
      <formula>IF(OR($J6="부분수용", $J6="불가"), TRUE, FALSE)</formula>
    </cfRule>
  </conditionalFormatting>
  <conditionalFormatting sqref="T8">
    <cfRule type="expression" dxfId="32" priority="15">
      <formula>IF($J8="제외", TRUE, FALSE)</formula>
    </cfRule>
    <cfRule type="expression" dxfId="31" priority="16">
      <formula>IF(OR($J8="부분수용", $J8="불가"), TRUE, FALSE)</formula>
    </cfRule>
  </conditionalFormatting>
  <conditionalFormatting sqref="R6:T8">
    <cfRule type="expression" dxfId="30" priority="19">
      <formula>IF($J6="제외", TRUE, FALSE)</formula>
    </cfRule>
  </conditionalFormatting>
  <conditionalFormatting sqref="D9:F9">
    <cfRule type="expression" dxfId="29" priority="13">
      <formula>IF($J9="제외", TRUE, FALSE)</formula>
    </cfRule>
    <cfRule type="expression" dxfId="28" priority="14">
      <formula>IF(OR($J9="부분수용", $J9="불가"), TRUE, FALSE)</formula>
    </cfRule>
  </conditionalFormatting>
  <dataValidations count="4">
    <dataValidation type="list" allowBlank="1" showInputMessage="1" showErrorMessage="1" sqref="S6:S8" xr:uid="{15978956-476D-4AE1-B9B6-32A7FCCB661D}">
      <formula1>"수용,부분수용,불가,제외"</formula1>
    </dataValidation>
    <dataValidation type="list" allowBlank="1" showInputMessage="1" showErrorMessage="1" sqref="R6:R8" xr:uid="{FF52608D-D8FE-4203-A268-BE7ECEB70B49}">
      <formula1>"기능,비기능(품질),인터페이스,기술인프라,기타"</formula1>
    </dataValidation>
    <dataValidation type="list" allowBlank="1" showInputMessage="1" showErrorMessage="1" sqref="I6:I8" xr:uid="{4333EB51-F5FB-42FF-B851-ED968EA2763B}">
      <formula1>"추가,내용변경,삭제"</formula1>
    </dataValidation>
    <dataValidation type="list" allowBlank="1" showInputMessage="1" showErrorMessage="1" sqref="J6:J8" xr:uid="{181924A7-9C07-4A0A-BFD5-D866A8082018}">
      <formula1>"완료,진행중"</formula1>
    </dataValidation>
  </dataValidations>
  <pageMargins left="0.59055118110236227" right="0.59055118110236227" top="0.78740157480314965" bottom="0.51181102362204722" header="0.51181102362204722" footer="0.31496062992125984"/>
  <pageSetup paperSize="9" scale="50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C5F4F-D7A9-4CF3-BBBE-1E6FE0152B93}">
  <sheetPr>
    <pageSetUpPr fitToPage="1"/>
  </sheetPr>
  <dimension ref="A1:W16"/>
  <sheetViews>
    <sheetView showGridLines="0" zoomScale="85" zoomScaleNormal="85" zoomScaleSheetLayoutView="130" workbookViewId="0">
      <pane xSplit="6" ySplit="5" topLeftCell="G6" activePane="bottomRight" state="frozen"/>
      <selection activeCell="C21" sqref="C21:D21"/>
      <selection pane="topRight" activeCell="C21" sqref="C21:D21"/>
      <selection pane="bottomLeft" activeCell="C21" sqref="C21:D21"/>
      <selection pane="bottomRight" activeCell="D12" sqref="D12"/>
    </sheetView>
  </sheetViews>
  <sheetFormatPr defaultColWidth="8.9140625" defaultRowHeight="16"/>
  <cols>
    <col min="1" max="1" width="3.4140625" style="9" customWidth="1"/>
    <col min="2" max="2" width="11" style="9" customWidth="1"/>
    <col min="3" max="3" width="10.1640625" style="9" bestFit="1" customWidth="1"/>
    <col min="4" max="4" width="12.83203125" style="7" customWidth="1"/>
    <col min="5" max="5" width="20.83203125" style="7" customWidth="1"/>
    <col min="6" max="6" width="28.83203125" style="7" customWidth="1"/>
    <col min="7" max="8" width="28.83203125" style="8" customWidth="1"/>
    <col min="9" max="9" width="6.4140625" style="9" customWidth="1"/>
    <col min="10" max="10" width="9.75" style="9" customWidth="1"/>
    <col min="11" max="12" width="10.08203125" style="7" customWidth="1"/>
    <col min="13" max="13" width="6.4140625" style="7" customWidth="1"/>
    <col min="14" max="14" width="13.25" style="7" customWidth="1"/>
    <col min="15" max="15" width="29.9140625" style="7" customWidth="1"/>
    <col min="16" max="17" width="6.4140625" style="9" customWidth="1"/>
    <col min="18" max="18" width="3.83203125" style="9" customWidth="1"/>
    <col min="19" max="19" width="4.4140625" style="9" bestFit="1" customWidth="1"/>
    <col min="20" max="21" width="10.6640625" style="7" customWidth="1"/>
    <col min="22" max="22" width="9.6640625" style="9" bestFit="1" customWidth="1"/>
    <col min="23" max="23" width="12" style="7" customWidth="1"/>
    <col min="24" max="16384" width="8.9140625" style="5"/>
  </cols>
  <sheetData>
    <row r="1" spans="1:23" ht="10" customHeight="1">
      <c r="A1" s="112"/>
      <c r="B1" s="112"/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  <c r="N1" s="112"/>
      <c r="O1" s="5"/>
      <c r="P1" s="5"/>
      <c r="Q1" s="5"/>
      <c r="R1" s="5"/>
      <c r="S1" s="5"/>
      <c r="T1" s="5"/>
      <c r="U1" s="5"/>
      <c r="V1" s="5"/>
      <c r="W1" s="5"/>
    </row>
    <row r="2" spans="1:23" s="6" customFormat="1" ht="24" customHeight="1" thickBot="1">
      <c r="A2" s="113" t="str">
        <f ca="1">"▣ " &amp; RIGHT(CELL("filename",A1),LEN(CELL("filename",A1))-FIND("]",CELL("filename",A1))) &amp; " 요구사항정의서"</f>
        <v>▣ 이음톡 요구사항정의서</v>
      </c>
      <c r="B2" s="113"/>
      <c r="C2" s="113"/>
      <c r="D2" s="113"/>
      <c r="E2" s="113"/>
      <c r="F2" s="17"/>
      <c r="G2" s="18"/>
      <c r="H2" s="26"/>
      <c r="I2" s="19"/>
      <c r="J2" s="19"/>
      <c r="K2" s="20"/>
      <c r="L2" s="20"/>
      <c r="M2" s="20"/>
      <c r="N2" s="20"/>
      <c r="O2" s="21"/>
      <c r="P2" s="22"/>
      <c r="Q2" s="22"/>
      <c r="R2" s="19"/>
      <c r="S2" s="19"/>
      <c r="T2" s="20" t="s">
        <v>34</v>
      </c>
      <c r="U2" s="21" t="s">
        <v>36</v>
      </c>
      <c r="V2" s="22" t="s">
        <v>35</v>
      </c>
      <c r="W2" s="23" t="s">
        <v>37</v>
      </c>
    </row>
    <row r="3" spans="1:23" s="6" customFormat="1" ht="3" customHeight="1">
      <c r="A3" s="10"/>
      <c r="B3" s="10"/>
      <c r="C3" s="10"/>
      <c r="D3" s="10"/>
      <c r="E3" s="10"/>
      <c r="F3" s="11"/>
      <c r="G3" s="12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</row>
    <row r="4" spans="1:23" s="6" customFormat="1" ht="17.5">
      <c r="A4" s="114" t="s">
        <v>30</v>
      </c>
      <c r="B4" s="114"/>
      <c r="C4" s="114"/>
      <c r="D4" s="114"/>
      <c r="E4" s="114"/>
      <c r="F4" s="114"/>
      <c r="G4" s="114"/>
      <c r="H4" s="114"/>
      <c r="I4" s="109" t="s">
        <v>56</v>
      </c>
      <c r="J4" s="110"/>
      <c r="K4" s="110"/>
      <c r="L4" s="110"/>
      <c r="M4" s="110"/>
      <c r="N4" s="110"/>
      <c r="O4" s="110"/>
      <c r="P4" s="110"/>
      <c r="Q4" s="111"/>
      <c r="R4" s="109" t="s">
        <v>31</v>
      </c>
      <c r="S4" s="110"/>
      <c r="T4" s="110"/>
      <c r="U4" s="110"/>
      <c r="V4" s="110"/>
      <c r="W4" s="111"/>
    </row>
    <row r="5" spans="1:23" s="6" customFormat="1" ht="44" thickBot="1">
      <c r="A5" s="14" t="s">
        <v>17</v>
      </c>
      <c r="B5" s="25" t="s">
        <v>39</v>
      </c>
      <c r="C5" s="15" t="s">
        <v>0</v>
      </c>
      <c r="D5" s="25" t="s">
        <v>180</v>
      </c>
      <c r="E5" s="25" t="s">
        <v>27</v>
      </c>
      <c r="F5" s="25" t="s">
        <v>28</v>
      </c>
      <c r="G5" s="25" t="s">
        <v>16</v>
      </c>
      <c r="H5" s="25" t="s">
        <v>18</v>
      </c>
      <c r="I5" s="25" t="s">
        <v>57</v>
      </c>
      <c r="J5" s="25" t="s">
        <v>66</v>
      </c>
      <c r="K5" s="25" t="s">
        <v>62</v>
      </c>
      <c r="L5" s="25" t="s">
        <v>65</v>
      </c>
      <c r="M5" s="25" t="s">
        <v>58</v>
      </c>
      <c r="N5" s="25" t="s">
        <v>64</v>
      </c>
      <c r="O5" s="25" t="s">
        <v>59</v>
      </c>
      <c r="P5" s="25" t="s">
        <v>60</v>
      </c>
      <c r="Q5" s="25" t="s">
        <v>61</v>
      </c>
      <c r="R5" s="25" t="s">
        <v>67</v>
      </c>
      <c r="S5" s="25" t="s">
        <v>19</v>
      </c>
      <c r="T5" s="25" t="s">
        <v>33</v>
      </c>
      <c r="U5" s="25" t="s">
        <v>32</v>
      </c>
      <c r="V5" s="25" t="s">
        <v>20</v>
      </c>
      <c r="W5" s="16" t="s">
        <v>21</v>
      </c>
    </row>
    <row r="6" spans="1:23" ht="43.5">
      <c r="A6" s="64">
        <f>ROW($A6)-5</f>
        <v>1</v>
      </c>
      <c r="B6" s="43" t="s">
        <v>38</v>
      </c>
      <c r="C6" s="65" t="s">
        <v>265</v>
      </c>
      <c r="D6" s="66" t="s">
        <v>173</v>
      </c>
      <c r="E6" s="67" t="s">
        <v>174</v>
      </c>
      <c r="F6" s="55" t="s">
        <v>175</v>
      </c>
      <c r="G6" s="41"/>
      <c r="H6" s="41"/>
      <c r="I6" s="24"/>
      <c r="J6" s="24"/>
      <c r="K6" s="24"/>
      <c r="L6" s="24"/>
      <c r="M6" s="24"/>
      <c r="N6" s="24"/>
      <c r="O6" s="41"/>
      <c r="P6" s="24"/>
      <c r="Q6" s="24"/>
      <c r="R6" s="43" t="s">
        <v>1</v>
      </c>
      <c r="S6" s="43" t="s">
        <v>6</v>
      </c>
      <c r="T6" s="43" t="s">
        <v>160</v>
      </c>
      <c r="U6" s="41"/>
      <c r="V6" s="41"/>
      <c r="W6" s="41"/>
    </row>
    <row r="7" spans="1:23" ht="43.5">
      <c r="A7" s="64">
        <f>ROW($A7)-5</f>
        <v>2</v>
      </c>
      <c r="B7" s="43" t="s">
        <v>38</v>
      </c>
      <c r="C7" s="65" t="s">
        <v>54</v>
      </c>
      <c r="D7" s="66" t="s">
        <v>173</v>
      </c>
      <c r="E7" s="67" t="s">
        <v>176</v>
      </c>
      <c r="F7" s="55" t="s">
        <v>177</v>
      </c>
      <c r="G7" s="41"/>
      <c r="H7" s="41"/>
      <c r="I7" s="24"/>
      <c r="J7" s="24"/>
      <c r="K7" s="24"/>
      <c r="L7" s="24"/>
      <c r="M7" s="24"/>
      <c r="N7" s="24"/>
      <c r="O7" s="41"/>
      <c r="P7" s="24"/>
      <c r="Q7" s="24"/>
      <c r="R7" s="43" t="s">
        <v>1</v>
      </c>
      <c r="S7" s="43" t="s">
        <v>6</v>
      </c>
      <c r="T7" s="43" t="s">
        <v>151</v>
      </c>
      <c r="U7" s="41"/>
      <c r="V7" s="41"/>
      <c r="W7" s="41"/>
    </row>
    <row r="8" spans="1:23" ht="43.5">
      <c r="A8" s="71">
        <f>ROW($A8)-5</f>
        <v>3</v>
      </c>
      <c r="B8" s="43" t="s">
        <v>38</v>
      </c>
      <c r="C8" s="65" t="s">
        <v>55</v>
      </c>
      <c r="D8" s="68" t="s">
        <v>173</v>
      </c>
      <c r="E8" s="69" t="s">
        <v>74</v>
      </c>
      <c r="F8" s="70" t="s">
        <v>178</v>
      </c>
      <c r="G8" s="41"/>
      <c r="H8" s="41"/>
      <c r="I8" s="24"/>
      <c r="J8" s="24"/>
      <c r="K8" s="24"/>
      <c r="L8" s="24"/>
      <c r="M8" s="24"/>
      <c r="N8" s="24"/>
      <c r="O8" s="41"/>
      <c r="P8" s="24"/>
      <c r="Q8" s="24"/>
      <c r="R8" s="51" t="s">
        <v>1</v>
      </c>
      <c r="S8" s="51" t="s">
        <v>6</v>
      </c>
      <c r="T8" s="43" t="s">
        <v>152</v>
      </c>
      <c r="U8" s="41"/>
      <c r="V8" s="41"/>
      <c r="W8" s="41"/>
    </row>
    <row r="9" spans="1:23" ht="48">
      <c r="A9" s="51">
        <f>ROW($A9)-5</f>
        <v>4</v>
      </c>
      <c r="B9" s="43" t="s">
        <v>38</v>
      </c>
      <c r="C9" s="52" t="s">
        <v>262</v>
      </c>
      <c r="D9" s="48" t="s">
        <v>263</v>
      </c>
      <c r="E9" s="48" t="s">
        <v>264</v>
      </c>
      <c r="F9" s="48" t="s">
        <v>266</v>
      </c>
      <c r="G9" s="48"/>
      <c r="H9" s="48"/>
      <c r="I9" s="59"/>
      <c r="J9" s="59"/>
      <c r="K9" s="48"/>
      <c r="L9" s="48"/>
      <c r="M9" s="48"/>
      <c r="N9" s="48"/>
      <c r="O9" s="48"/>
      <c r="P9" s="59"/>
      <c r="Q9" s="59"/>
      <c r="R9" s="59"/>
      <c r="S9" s="59"/>
      <c r="T9" s="48"/>
      <c r="U9" s="48"/>
      <c r="V9" s="59"/>
      <c r="W9" s="48"/>
    </row>
    <row r="10" spans="1:23">
      <c r="D10" s="8"/>
      <c r="E10" s="8"/>
      <c r="F10" s="8"/>
      <c r="K10" s="8"/>
      <c r="L10" s="8"/>
      <c r="M10" s="8"/>
      <c r="N10" s="8"/>
      <c r="O10" s="8"/>
      <c r="T10" s="8"/>
      <c r="U10" s="8"/>
      <c r="W10" s="8"/>
    </row>
    <row r="11" spans="1:23">
      <c r="D11" s="8"/>
      <c r="E11" s="8"/>
      <c r="F11" s="8"/>
      <c r="K11" s="8"/>
      <c r="L11" s="8"/>
      <c r="M11" s="8"/>
      <c r="N11" s="8"/>
      <c r="O11" s="8"/>
      <c r="T11" s="8"/>
      <c r="U11" s="8"/>
      <c r="W11" s="8"/>
    </row>
    <row r="12" spans="1:23">
      <c r="D12" s="8"/>
      <c r="E12" s="8"/>
      <c r="F12" s="8"/>
      <c r="K12" s="8"/>
      <c r="L12" s="8"/>
      <c r="M12" s="8"/>
      <c r="N12" s="8"/>
      <c r="O12" s="8"/>
      <c r="T12" s="8"/>
      <c r="U12" s="8"/>
      <c r="W12" s="8"/>
    </row>
    <row r="13" spans="1:23">
      <c r="D13" s="8"/>
      <c r="E13" s="8"/>
      <c r="F13" s="8"/>
      <c r="K13" s="8"/>
      <c r="L13" s="8"/>
      <c r="M13" s="8"/>
      <c r="N13" s="8"/>
      <c r="O13" s="8"/>
      <c r="T13" s="8"/>
      <c r="U13" s="8"/>
      <c r="W13" s="8"/>
    </row>
    <row r="14" spans="1:23">
      <c r="D14" s="8"/>
      <c r="E14" s="8"/>
      <c r="F14" s="8"/>
      <c r="K14" s="8"/>
      <c r="L14" s="8"/>
      <c r="M14" s="8"/>
      <c r="N14" s="8"/>
      <c r="O14" s="8"/>
      <c r="T14" s="8"/>
      <c r="U14" s="8"/>
      <c r="W14" s="8"/>
    </row>
    <row r="15" spans="1:23">
      <c r="D15" s="8"/>
      <c r="E15" s="8"/>
      <c r="F15" s="8"/>
      <c r="K15" s="8"/>
      <c r="L15" s="8"/>
      <c r="M15" s="8"/>
      <c r="N15" s="8"/>
      <c r="O15" s="8"/>
      <c r="T15" s="8"/>
      <c r="U15" s="8"/>
      <c r="W15" s="8"/>
    </row>
    <row r="16" spans="1:23">
      <c r="D16" s="8"/>
      <c r="E16" s="8"/>
      <c r="F16" s="8"/>
      <c r="K16" s="8"/>
      <c r="L16" s="8"/>
      <c r="M16" s="8"/>
      <c r="N16" s="8"/>
      <c r="O16" s="8"/>
      <c r="T16" s="8"/>
      <c r="U16" s="8"/>
      <c r="W16" s="8"/>
    </row>
  </sheetData>
  <mergeCells count="5">
    <mergeCell ref="R4:W4"/>
    <mergeCell ref="A1:N1"/>
    <mergeCell ref="A2:E2"/>
    <mergeCell ref="A4:H4"/>
    <mergeCell ref="I4:Q4"/>
  </mergeCells>
  <phoneticPr fontId="18" type="noConversion"/>
  <conditionalFormatting sqref="A10:H90 G9:H9">
    <cfRule type="expression" dxfId="27" priority="81">
      <formula>IF($J9="제외", TRUE, FALSE)</formula>
    </cfRule>
    <cfRule type="expression" dxfId="26" priority="82">
      <formula>IF(OR($J9="부분수용", $J9="불가"), TRUE, FALSE)</formula>
    </cfRule>
  </conditionalFormatting>
  <conditionalFormatting sqref="S9:S90 U6:W90">
    <cfRule type="expression" dxfId="25" priority="57">
      <formula>IF($S6="제외", TRUE, FALSE)</formula>
    </cfRule>
    <cfRule type="expression" dxfId="24" priority="58">
      <formula>IF(OR($S6="부분수용", $S6="불가"), TRUE, FALSE)</formula>
    </cfRule>
  </conditionalFormatting>
  <conditionalFormatting sqref="T9:T90">
    <cfRule type="expression" dxfId="23" priority="55">
      <formula>IF($S9="제외", TRUE, FALSE)</formula>
    </cfRule>
    <cfRule type="expression" dxfId="22" priority="56">
      <formula>IF(OR($S9="부분수용", $S9="불가"), TRUE, FALSE)</formula>
    </cfRule>
  </conditionalFormatting>
  <conditionalFormatting sqref="I9:I90">
    <cfRule type="expression" dxfId="21" priority="53">
      <formula>IF(#REF!="제외", TRUE, FALSE)</formula>
    </cfRule>
    <cfRule type="expression" dxfId="20" priority="54">
      <formula>IF(OR(#REF!="부분수용", #REF!="불가"), TRUE, FALSE)</formula>
    </cfRule>
  </conditionalFormatting>
  <conditionalFormatting sqref="Q9:Q90 O9:O90">
    <cfRule type="expression" dxfId="19" priority="51">
      <formula>IF(#REF!="제외", TRUE, FALSE)</formula>
    </cfRule>
    <cfRule type="expression" dxfId="18" priority="52">
      <formula>IF(OR(#REF!="부분수용", #REF!="불가"), TRUE, FALSE)</formula>
    </cfRule>
  </conditionalFormatting>
  <conditionalFormatting sqref="M9:N90 K9:K90">
    <cfRule type="expression" dxfId="17" priority="49">
      <formula>IF(#REF!="제외", TRUE, FALSE)</formula>
    </cfRule>
    <cfRule type="expression" dxfId="16" priority="50">
      <formula>IF(OR(#REF!="부분수용", #REF!="불가"), TRUE, FALSE)</formula>
    </cfRule>
  </conditionalFormatting>
  <conditionalFormatting sqref="L9:L90">
    <cfRule type="expression" dxfId="15" priority="41">
      <formula>IF(#REF!="제외", TRUE, FALSE)</formula>
    </cfRule>
    <cfRule type="expression" dxfId="14" priority="42">
      <formula>IF(OR(#REF!="부분수용", #REF!="불가"), TRUE, FALSE)</formula>
    </cfRule>
  </conditionalFormatting>
  <conditionalFormatting sqref="J9:J90">
    <cfRule type="expression" dxfId="13" priority="45">
      <formula>IF(#REF!="제외", TRUE, FALSE)</formula>
    </cfRule>
    <cfRule type="expression" dxfId="12" priority="46">
      <formula>IF(OR(#REF!="부분수용", #REF!="불가"), TRUE, FALSE)</formula>
    </cfRule>
  </conditionalFormatting>
  <conditionalFormatting sqref="P9:P90">
    <cfRule type="expression" dxfId="11" priority="39">
      <formula>IF(#REF!="제외", TRUE, FALSE)</formula>
    </cfRule>
    <cfRule type="expression" dxfId="10" priority="40">
      <formula>IF(OR(#REF!="부분수용", #REF!="불가"), TRUE, FALSE)</formula>
    </cfRule>
  </conditionalFormatting>
  <conditionalFormatting sqref="R9:R90">
    <cfRule type="expression" dxfId="9" priority="35">
      <formula>IF($J9="제외", TRUE, FALSE)</formula>
    </cfRule>
    <cfRule type="expression" dxfId="8" priority="36">
      <formula>IF(OR($J9="부분수용", $J9="불가"), TRUE, FALSE)</formula>
    </cfRule>
  </conditionalFormatting>
  <conditionalFormatting sqref="G6:Q8">
    <cfRule type="expression" dxfId="7" priority="19">
      <formula>IF($S6="제외", TRUE, FALSE)</formula>
    </cfRule>
    <cfRule type="expression" dxfId="6" priority="20">
      <formula>IF(OR($S6="부분수용", $S6="불가"), TRUE, FALSE)</formula>
    </cfRule>
  </conditionalFormatting>
  <conditionalFormatting sqref="A6:F8 A9:C9">
    <cfRule type="expression" dxfId="5" priority="17">
      <formula>IF($J6="제외", TRUE, FALSE)</formula>
    </cfRule>
    <cfRule type="expression" dxfId="4" priority="18">
      <formula>IF(OR($J6="부분수용", $J6="불가"), TRUE, FALSE)</formula>
    </cfRule>
  </conditionalFormatting>
  <conditionalFormatting sqref="R6:T8">
    <cfRule type="expression" dxfId="3" priority="15">
      <formula>IF($J6="제외", TRUE, FALSE)</formula>
    </cfRule>
    <cfRule type="expression" dxfId="2" priority="16">
      <formula>IF(OR($J6="부분수용", $J6="불가"), TRUE, FALSE)</formula>
    </cfRule>
  </conditionalFormatting>
  <conditionalFormatting sqref="D9:F9">
    <cfRule type="expression" dxfId="1" priority="13">
      <formula>IF($J9="제외", TRUE, FALSE)</formula>
    </cfRule>
    <cfRule type="expression" dxfId="0" priority="14">
      <formula>IF(OR($J9="부분수용", $J9="불가"), TRUE, FALSE)</formula>
    </cfRule>
  </conditionalFormatting>
  <dataValidations count="4">
    <dataValidation type="list" allowBlank="1" showInputMessage="1" showErrorMessage="1" sqref="I6:I8" xr:uid="{9893F9C1-142E-47B8-8087-65C6A3B29756}">
      <formula1>"추가,내용변경,삭제"</formula1>
    </dataValidation>
    <dataValidation type="list" allowBlank="1" showInputMessage="1" showErrorMessage="1" sqref="R6:R8" xr:uid="{5431D745-A15D-4EDB-996D-B65B4BE1DA1C}">
      <formula1>"기능,비기능(품질),인터페이스,기술인프라,기타"</formula1>
    </dataValidation>
    <dataValidation type="list" allowBlank="1" showInputMessage="1" showErrorMessage="1" sqref="J6:J8" xr:uid="{374A5A84-D286-4923-92BC-F753ADE72DF3}">
      <formula1>"완료,진행중"</formula1>
    </dataValidation>
    <dataValidation type="list" allowBlank="1" showInputMessage="1" showErrorMessage="1" sqref="S6:S8" xr:uid="{702B4034-8FFF-4F63-A672-932ADCCE9E66}">
      <formula1>"수용,부분수용,불가,제외"</formula1>
    </dataValidation>
  </dataValidations>
  <pageMargins left="0.59055118110236227" right="0.59055118110236227" top="0.78740157480314965" bottom="0.51181102362204722" header="0.51181102362204722" footer="0.31496062992125984"/>
  <pageSetup paperSize="9" scale="41" fitToHeight="0" orientation="landscape" r:id="rId1"/>
  <headerFooter alignWithMargins="0">
    <oddHeader>&amp;L&amp;"바탕체,굵게"&amp;9[PJ명] 그룹웨어 구축&amp;R&amp;"바탕체,굵게"&amp;9PJ명_ANL03_요구사항정의 GAP분석서.xlsx</oddHeader>
    <oddFooter>&amp;L고객사명&amp;C&amp;"바탕체,보통"&amp;9&amp;P / &amp;N&amp;R&amp;G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20"/>
  <dimension ref="A1:G5"/>
  <sheetViews>
    <sheetView workbookViewId="0">
      <selection activeCell="K35" sqref="K35"/>
    </sheetView>
  </sheetViews>
  <sheetFormatPr defaultColWidth="8.9140625" defaultRowHeight="13"/>
  <cols>
    <col min="1" max="1" width="8.9140625" style="1"/>
    <col min="2" max="2" width="3" style="1" customWidth="1"/>
    <col min="3" max="3" width="8.9140625" style="1"/>
    <col min="4" max="4" width="2.9140625" style="1" customWidth="1"/>
    <col min="5" max="5" width="8.9140625" style="1"/>
    <col min="6" max="6" width="2.08203125" style="1" customWidth="1"/>
    <col min="7" max="16384" width="8.9140625" style="1"/>
  </cols>
  <sheetData>
    <row r="1" spans="1:7">
      <c r="A1" s="3" t="s">
        <v>10</v>
      </c>
      <c r="C1" s="3" t="s">
        <v>15</v>
      </c>
      <c r="E1" s="3" t="s">
        <v>4</v>
      </c>
      <c r="G1" s="4" t="s">
        <v>5</v>
      </c>
    </row>
    <row r="2" spans="1:7">
      <c r="A2" s="2" t="s">
        <v>1</v>
      </c>
      <c r="C2" s="2" t="s">
        <v>12</v>
      </c>
      <c r="E2" s="2" t="s">
        <v>12</v>
      </c>
      <c r="G2" s="2" t="s">
        <v>6</v>
      </c>
    </row>
    <row r="3" spans="1:7">
      <c r="A3" s="2" t="s">
        <v>11</v>
      </c>
      <c r="C3" s="2" t="s">
        <v>13</v>
      </c>
      <c r="E3" s="2" t="s">
        <v>13</v>
      </c>
      <c r="G3" s="2" t="s">
        <v>7</v>
      </c>
    </row>
    <row r="4" spans="1:7">
      <c r="A4" s="2" t="s">
        <v>2</v>
      </c>
      <c r="C4" s="2" t="s">
        <v>14</v>
      </c>
      <c r="E4" s="2" t="s">
        <v>14</v>
      </c>
      <c r="G4" s="2" t="s">
        <v>8</v>
      </c>
    </row>
    <row r="5" spans="1:7">
      <c r="A5" s="2" t="s">
        <v>3</v>
      </c>
      <c r="G5" s="2" t="s">
        <v>9</v>
      </c>
    </row>
  </sheetData>
  <phoneticPr fontId="18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B7EE8C989F4014D8F473F11EA235336" ma:contentTypeVersion="1" ma:contentTypeDescription="새 문서를 만듭니다." ma:contentTypeScope="" ma:versionID="da507e76d2c73bb96d59657c92b25dbb">
  <xsd:schema xmlns:xsd="http://www.w3.org/2001/XMLSchema" xmlns:xs="http://www.w3.org/2001/XMLSchema" xmlns:p="http://schemas.microsoft.com/office/2006/metadata/properties" xmlns:ns2="2aae6fcb-43e3-4396-89be-baa0995eb0b9" targetNamespace="http://schemas.microsoft.com/office/2006/metadata/properties" ma:root="true" ma:fieldsID="aa1e80f6703332eeed5d82846e061462" ns2:_="">
    <xsd:import namespace="2aae6fcb-43e3-4396-89be-baa0995eb0b9"/>
    <xsd:element name="properties">
      <xsd:complexType>
        <xsd:sequence>
          <xsd:element name="documentManagement">
            <xsd:complexType>
              <xsd:all>
                <xsd:element ref="ns2:_xbb38__xc11c__xc124__xba85_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ae6fcb-43e3-4396-89be-baa0995eb0b9" elementFormDefault="qualified">
    <xsd:import namespace="http://schemas.microsoft.com/office/2006/documentManagement/types"/>
    <xsd:import namespace="http://schemas.microsoft.com/office/infopath/2007/PartnerControls"/>
    <xsd:element name="_xbb38__xc11c__xc124__xba85_" ma:index="8" nillable="true" ma:displayName="문서설명" ma:internalName="_xbb38__xc11c__xc124__xba85_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bb38__xc11c__xc124__xba85_ xmlns="2aae6fcb-43e3-4396-89be-baa0995eb0b9" xsi:nil="true"/>
  </documentManagement>
</p:properti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7643EFE-72D5-4FE7-B6E7-B349B6ADB58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2D4A625-0789-442F-BBAC-37BF27A036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aae6fcb-43e3-4396-89be-baa0995eb0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182F255-5B0A-4D4A-84C3-388C239EA4B8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2aae6fcb-43e3-4396-89be-baa0995eb0b9"/>
    <ds:schemaRef ds:uri="http://www.w3.org/XML/1998/namespace"/>
    <ds:schemaRef ds:uri="http://schemas.microsoft.com/office/2006/metadata/properties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8CD42B52-49D2-441C-A266-465BECBC79A2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표지</vt:lpstr>
      <vt:lpstr>협업</vt:lpstr>
      <vt:lpstr>전자결재</vt:lpstr>
      <vt:lpstr>웹메일</vt:lpstr>
      <vt:lpstr>Outlook Add-in</vt:lpstr>
      <vt:lpstr>조직도</vt:lpstr>
      <vt:lpstr>이음톡</vt:lpstr>
      <vt:lpstr>환경변수</vt:lpstr>
    </vt:vector>
  </TitlesOfParts>
  <Company>Covision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요구사항정의서</dc:title>
  <dc:creator>이철</dc:creator>
  <cp:lastModifiedBy>강민석</cp:lastModifiedBy>
  <cp:lastPrinted>2026-04-08T06:07:20Z</cp:lastPrinted>
  <dcterms:created xsi:type="dcterms:W3CDTF">1998-12-28T01:18:47Z</dcterms:created>
  <dcterms:modified xsi:type="dcterms:W3CDTF">2026-05-18T00:40:58Z</dcterms:modified>
</cp:coreProperties>
</file>