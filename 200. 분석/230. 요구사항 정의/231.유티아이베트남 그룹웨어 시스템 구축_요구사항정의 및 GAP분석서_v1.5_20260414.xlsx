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TFT\Projects\538 유티아이 베트남 그룹웨어 시스템 구축\200. 분석\230. 요구사항 정의\"/>
    </mc:Choice>
  </mc:AlternateContent>
  <xr:revisionPtr revIDLastSave="0" documentId="13_ncr:1_{DC85C931-CA4E-4A60-9B49-0A3F3FE77D02}" xr6:coauthVersionLast="36" xr6:coauthVersionMax="36" xr10:uidLastSave="{00000000-0000-0000-0000-000000000000}"/>
  <bookViews>
    <workbookView xWindow="0" yWindow="0" windowWidth="12740" windowHeight="5910" tabRatio="752" activeTab="5" xr2:uid="{00000000-000D-0000-FFFF-FFFF00000000}"/>
  </bookViews>
  <sheets>
    <sheet name="표지" sheetId="1" r:id="rId1"/>
    <sheet name="협업" sheetId="9" r:id="rId2"/>
    <sheet name="전자결재" sheetId="3" r:id="rId3"/>
    <sheet name="웹메일" sheetId="4" r:id="rId4"/>
    <sheet name="Outlook Add-in" sheetId="5" r:id="rId5"/>
    <sheet name="조직도" sheetId="6" r:id="rId6"/>
    <sheet name="이음톡" sheetId="7" r:id="rId7"/>
    <sheet name="추가요구사항" sheetId="8" r:id="rId8"/>
  </sheets>
  <definedNames>
    <definedName name="AA" localSheetId="4" hidden="1">{"'Sheet1'!$A$1:$J$57","'Sheet1'!$F$32:$F$35","'Sheet1'!$F$32:$F$36"}</definedName>
    <definedName name="AA" localSheetId="3" hidden="1">{"'Sheet1'!$A$1:$J$57","'Sheet1'!$F$32:$F$35","'Sheet1'!$F$32:$F$36"}</definedName>
    <definedName name="AA" localSheetId="6" hidden="1">{"'Sheet1'!$A$1:$J$57","'Sheet1'!$F$32:$F$35","'Sheet1'!$F$32:$F$36"}</definedName>
    <definedName name="AA" localSheetId="2" hidden="1">{"'Sheet1'!$A$1:$J$57","'Sheet1'!$F$32:$F$35","'Sheet1'!$F$32:$F$36"}</definedName>
    <definedName name="AA" localSheetId="5" hidden="1">{"'Sheet1'!$A$1:$J$57","'Sheet1'!$F$32:$F$35","'Sheet1'!$F$32:$F$36"}</definedName>
    <definedName name="AA" localSheetId="7" hidden="1">{"'Sheet1'!$A$1:$J$57","'Sheet1'!$F$32:$F$35","'Sheet1'!$F$32:$F$36"}</definedName>
    <definedName name="AA" localSheetId="1" hidden="1">{"'Sheet1'!$A$1:$J$57","'Sheet1'!$F$32:$F$35","'Sheet1'!$F$32:$F$36"}</definedName>
    <definedName name="AA" hidden="1">{"'Sheet1'!$A$1:$J$57","'Sheet1'!$F$32:$F$35","'Sheet1'!$F$32:$F$36"}</definedName>
    <definedName name="AB" localSheetId="4" hidden="1">{"'Sheet1'!$A$1:$J$57","'Sheet1'!$F$32:$F$35","'Sheet1'!$F$32:$F$36"}</definedName>
    <definedName name="AB" localSheetId="3" hidden="1">{"'Sheet1'!$A$1:$J$57","'Sheet1'!$F$32:$F$35","'Sheet1'!$F$32:$F$36"}</definedName>
    <definedName name="AB" localSheetId="6" hidden="1">{"'Sheet1'!$A$1:$J$57","'Sheet1'!$F$32:$F$35","'Sheet1'!$F$32:$F$36"}</definedName>
    <definedName name="AB" localSheetId="2" hidden="1">{"'Sheet1'!$A$1:$J$57","'Sheet1'!$F$32:$F$35","'Sheet1'!$F$32:$F$36"}</definedName>
    <definedName name="AB" localSheetId="5" hidden="1">{"'Sheet1'!$A$1:$J$57","'Sheet1'!$F$32:$F$35","'Sheet1'!$F$32:$F$36"}</definedName>
    <definedName name="AB" localSheetId="7" hidden="1">{"'Sheet1'!$A$1:$J$57","'Sheet1'!$F$32:$F$35","'Sheet1'!$F$32:$F$36"}</definedName>
    <definedName name="AB" localSheetId="1" hidden="1">{"'Sheet1'!$A$1:$J$57","'Sheet1'!$F$32:$F$35","'Sheet1'!$F$32:$F$36"}</definedName>
    <definedName name="AB" hidden="1">{"'Sheet1'!$A$1:$J$57","'Sheet1'!$F$32:$F$35","'Sheet1'!$F$32:$F$36"}</definedName>
    <definedName name="afaga" localSheetId="4" hidden="1">{"'Sheet1'!$A$1:$J$57","'Sheet1'!$F$32:$F$35","'Sheet1'!$F$32:$F$36"}</definedName>
    <definedName name="afaga" localSheetId="3" hidden="1">{"'Sheet1'!$A$1:$J$57","'Sheet1'!$F$32:$F$35","'Sheet1'!$F$32:$F$36"}</definedName>
    <definedName name="afaga" localSheetId="6" hidden="1">{"'Sheet1'!$A$1:$J$57","'Sheet1'!$F$32:$F$35","'Sheet1'!$F$32:$F$36"}</definedName>
    <definedName name="afaga" localSheetId="2" hidden="1">{"'Sheet1'!$A$1:$J$57","'Sheet1'!$F$32:$F$35","'Sheet1'!$F$32:$F$36"}</definedName>
    <definedName name="afaga" localSheetId="5" hidden="1">{"'Sheet1'!$A$1:$J$57","'Sheet1'!$F$32:$F$35","'Sheet1'!$F$32:$F$36"}</definedName>
    <definedName name="afaga" localSheetId="7" hidden="1">{"'Sheet1'!$A$1:$J$57","'Sheet1'!$F$32:$F$35","'Sheet1'!$F$32:$F$36"}</definedName>
    <definedName name="afaga" localSheetId="1" hidden="1">{"'Sheet1'!$A$1:$J$57","'Sheet1'!$F$32:$F$35","'Sheet1'!$F$32:$F$36"}</definedName>
    <definedName name="afaga" hidden="1">{"'Sheet1'!$A$1:$J$57","'Sheet1'!$F$32:$F$35","'Sheet1'!$F$32:$F$36"}</definedName>
    <definedName name="AG" localSheetId="4" hidden="1">{"'Sheet1'!$A$1:$J$57","'Sheet1'!$F$32:$F$35","'Sheet1'!$F$32:$F$36"}</definedName>
    <definedName name="AG" localSheetId="3" hidden="1">{"'Sheet1'!$A$1:$J$57","'Sheet1'!$F$32:$F$35","'Sheet1'!$F$32:$F$36"}</definedName>
    <definedName name="AG" localSheetId="6" hidden="1">{"'Sheet1'!$A$1:$J$57","'Sheet1'!$F$32:$F$35","'Sheet1'!$F$32:$F$36"}</definedName>
    <definedName name="AG" localSheetId="2" hidden="1">{"'Sheet1'!$A$1:$J$57","'Sheet1'!$F$32:$F$35","'Sheet1'!$F$32:$F$36"}</definedName>
    <definedName name="AG" localSheetId="5" hidden="1">{"'Sheet1'!$A$1:$J$57","'Sheet1'!$F$32:$F$35","'Sheet1'!$F$32:$F$36"}</definedName>
    <definedName name="AG" localSheetId="7" hidden="1">{"'Sheet1'!$A$1:$J$57","'Sheet1'!$F$32:$F$35","'Sheet1'!$F$32:$F$36"}</definedName>
    <definedName name="AG" localSheetId="1" hidden="1">{"'Sheet1'!$A$1:$J$57","'Sheet1'!$F$32:$F$35","'Sheet1'!$F$32:$F$36"}</definedName>
    <definedName name="AG" hidden="1">{"'Sheet1'!$A$1:$J$57","'Sheet1'!$F$32:$F$35","'Sheet1'!$F$32:$F$36"}</definedName>
    <definedName name="dddd" localSheetId="4" hidden="1">{"'Sheet1'!$A$1:$J$57","'Sheet1'!$F$32:$F$35","'Sheet1'!$F$32:$F$36"}</definedName>
    <definedName name="dddd" localSheetId="3" hidden="1">{"'Sheet1'!$A$1:$J$57","'Sheet1'!$F$32:$F$35","'Sheet1'!$F$32:$F$36"}</definedName>
    <definedName name="dddd" localSheetId="6" hidden="1">{"'Sheet1'!$A$1:$J$57","'Sheet1'!$F$32:$F$35","'Sheet1'!$F$32:$F$36"}</definedName>
    <definedName name="dddd" localSheetId="2" hidden="1">{"'Sheet1'!$A$1:$J$57","'Sheet1'!$F$32:$F$35","'Sheet1'!$F$32:$F$36"}</definedName>
    <definedName name="dddd" localSheetId="5" hidden="1">{"'Sheet1'!$A$1:$J$57","'Sheet1'!$F$32:$F$35","'Sheet1'!$F$32:$F$36"}</definedName>
    <definedName name="dddd" localSheetId="7" hidden="1">{"'Sheet1'!$A$1:$J$57","'Sheet1'!$F$32:$F$35","'Sheet1'!$F$32:$F$36"}</definedName>
    <definedName name="dddd" localSheetId="1" hidden="1">{"'Sheet1'!$A$1:$J$57","'Sheet1'!$F$32:$F$35","'Sheet1'!$F$32:$F$36"}</definedName>
    <definedName name="dddd" hidden="1">{"'Sheet1'!$A$1:$J$57","'Sheet1'!$F$32:$F$35","'Sheet1'!$F$32:$F$36"}</definedName>
    <definedName name="html" localSheetId="4" hidden="1">{"'Sheet1'!$A$1:$J$57","'Sheet1'!$F$32:$F$35","'Sheet1'!$F$32:$F$36"}</definedName>
    <definedName name="html" localSheetId="3" hidden="1">{"'Sheet1'!$A$1:$J$57","'Sheet1'!$F$32:$F$35","'Sheet1'!$F$32:$F$36"}</definedName>
    <definedName name="html" localSheetId="6" hidden="1">{"'Sheet1'!$A$1:$J$57","'Sheet1'!$F$32:$F$35","'Sheet1'!$F$32:$F$36"}</definedName>
    <definedName name="html" localSheetId="2" hidden="1">{"'Sheet1'!$A$1:$J$57","'Sheet1'!$F$32:$F$35","'Sheet1'!$F$32:$F$36"}</definedName>
    <definedName name="html" localSheetId="5" hidden="1">{"'Sheet1'!$A$1:$J$57","'Sheet1'!$F$32:$F$35","'Sheet1'!$F$32:$F$36"}</definedName>
    <definedName name="html" localSheetId="7" hidden="1">{"'Sheet1'!$A$1:$J$57","'Sheet1'!$F$32:$F$35","'Sheet1'!$F$32:$F$36"}</definedName>
    <definedName name="html" localSheetId="1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4" hidden="1">{"'Sheet1'!$A$1:$J$57","'Sheet1'!$F$32:$F$35","'Sheet1'!$F$32:$F$36"}</definedName>
    <definedName name="HTML_Control" localSheetId="3" hidden="1">{"'Sheet1'!$A$1:$J$57","'Sheet1'!$F$32:$F$35","'Sheet1'!$F$32:$F$36"}</definedName>
    <definedName name="HTML_Control" localSheetId="6" hidden="1">{"'Sheet1'!$A$1:$J$57","'Sheet1'!$F$32:$F$35","'Sheet1'!$F$32:$F$36"}</definedName>
    <definedName name="HTML_Control" localSheetId="2" hidden="1">{"'Sheet1'!$A$1:$J$57","'Sheet1'!$F$32:$F$35","'Sheet1'!$F$32:$F$36"}</definedName>
    <definedName name="HTML_Control" localSheetId="5" hidden="1">{"'Sheet1'!$A$1:$J$57","'Sheet1'!$F$32:$F$35","'Sheet1'!$F$32:$F$36"}</definedName>
    <definedName name="HTML_Control" localSheetId="7" hidden="1">{"'Sheet1'!$A$1:$J$57","'Sheet1'!$F$32:$F$35","'Sheet1'!$F$32:$F$36"}</definedName>
    <definedName name="HTML_Control" localSheetId="1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4" hidden="1">{"'Sheet1'!$A$1:$J$57","'Sheet1'!$F$32:$F$35","'Sheet1'!$F$32:$F$36"}</definedName>
    <definedName name="HTML1" localSheetId="3" hidden="1">{"'Sheet1'!$A$1:$J$57","'Sheet1'!$F$32:$F$35","'Sheet1'!$F$32:$F$36"}</definedName>
    <definedName name="HTML1" localSheetId="6" hidden="1">{"'Sheet1'!$A$1:$J$57","'Sheet1'!$F$32:$F$35","'Sheet1'!$F$32:$F$36"}</definedName>
    <definedName name="HTML1" localSheetId="2" hidden="1">{"'Sheet1'!$A$1:$J$57","'Sheet1'!$F$32:$F$35","'Sheet1'!$F$32:$F$36"}</definedName>
    <definedName name="HTML1" localSheetId="5" hidden="1">{"'Sheet1'!$A$1:$J$57","'Sheet1'!$F$32:$F$35","'Sheet1'!$F$32:$F$36"}</definedName>
    <definedName name="HTML1" localSheetId="7" hidden="1">{"'Sheet1'!$A$1:$J$57","'Sheet1'!$F$32:$F$35","'Sheet1'!$F$32:$F$36"}</definedName>
    <definedName name="HTML1" localSheetId="1" hidden="1">{"'Sheet1'!$A$1:$J$57","'Sheet1'!$F$32:$F$35","'Sheet1'!$F$32:$F$36"}</definedName>
    <definedName name="HTML1" hidden="1">{"'Sheet1'!$A$1:$J$57","'Sheet1'!$F$32:$F$35","'Sheet1'!$F$32:$F$36"}</definedName>
    <definedName name="HTML2" localSheetId="4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6" hidden="1">{"'Sheet1'!$A$1:$J$57","'Sheet1'!$F$32:$F$35","'Sheet1'!$F$32:$F$36"}</definedName>
    <definedName name="HTML2" localSheetId="2" hidden="1">{"'Sheet1'!$A$1:$J$57","'Sheet1'!$F$32:$F$35","'Sheet1'!$F$32:$F$36"}</definedName>
    <definedName name="HTML2" localSheetId="5" hidden="1">{"'Sheet1'!$A$1:$J$57","'Sheet1'!$F$32:$F$35","'Sheet1'!$F$32:$F$36"}</definedName>
    <definedName name="HTML2" localSheetId="7" hidden="1">{"'Sheet1'!$A$1:$J$57","'Sheet1'!$F$32:$F$35","'Sheet1'!$F$32:$F$36"}</definedName>
    <definedName name="HTML2" localSheetId="1" hidden="1">{"'Sheet1'!$A$1:$J$57","'Sheet1'!$F$32:$F$35","'Sheet1'!$F$32:$F$36"}</definedName>
    <definedName name="HTML2" hidden="1">{"'Sheet1'!$A$1:$J$57","'Sheet1'!$F$32:$F$35","'Sheet1'!$F$32:$F$36"}</definedName>
    <definedName name="ups" localSheetId="4" hidden="1">{"'Sheet1'!$A$1:$J$57","'Sheet1'!$F$32:$F$35","'Sheet1'!$F$32:$F$36"}</definedName>
    <definedName name="ups" localSheetId="3" hidden="1">{"'Sheet1'!$A$1:$J$57","'Sheet1'!$F$32:$F$35","'Sheet1'!$F$32:$F$36"}</definedName>
    <definedName name="ups" localSheetId="6" hidden="1">{"'Sheet1'!$A$1:$J$57","'Sheet1'!$F$32:$F$35","'Sheet1'!$F$32:$F$36"}</definedName>
    <definedName name="ups" localSheetId="2" hidden="1">{"'Sheet1'!$A$1:$J$57","'Sheet1'!$F$32:$F$35","'Sheet1'!$F$32:$F$36"}</definedName>
    <definedName name="ups" localSheetId="5" hidden="1">{"'Sheet1'!$A$1:$J$57","'Sheet1'!$F$32:$F$35","'Sheet1'!$F$32:$F$36"}</definedName>
    <definedName name="ups" localSheetId="7" hidden="1">{"'Sheet1'!$A$1:$J$57","'Sheet1'!$F$32:$F$35","'Sheet1'!$F$32:$F$36"}</definedName>
    <definedName name="ups" localSheetId="1" hidden="1">{"'Sheet1'!$A$1:$J$57","'Sheet1'!$F$32:$F$35","'Sheet1'!$F$32:$F$36"}</definedName>
    <definedName name="ups" hidden="1">{"'Sheet1'!$A$1:$J$57","'Sheet1'!$F$32:$F$35","'Sheet1'!$F$32:$F$36"}</definedName>
    <definedName name="견적_최종2" localSheetId="4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localSheetId="6" hidden="1">{"'Sheet1'!$A$1:$J$57","'Sheet1'!$F$32:$F$35","'Sheet1'!$F$32:$F$36"}</definedName>
    <definedName name="견적_최종2" localSheetId="2" hidden="1">{"'Sheet1'!$A$1:$J$57","'Sheet1'!$F$32:$F$35","'Sheet1'!$F$32:$F$36"}</definedName>
    <definedName name="견적_최종2" localSheetId="5" hidden="1">{"'Sheet1'!$A$1:$J$57","'Sheet1'!$F$32:$F$35","'Sheet1'!$F$32:$F$36"}</definedName>
    <definedName name="견적_최종2" localSheetId="7" hidden="1">{"'Sheet1'!$A$1:$J$57","'Sheet1'!$F$32:$F$35","'Sheet1'!$F$32:$F$36"}</definedName>
    <definedName name="견적_최종2" localSheetId="1" hidden="1">{"'Sheet1'!$A$1:$J$57","'Sheet1'!$F$32:$F$35","'Sheet1'!$F$32:$F$36"}</definedName>
    <definedName name="견적_최종2" hidden="1">{"'Sheet1'!$A$1:$J$57","'Sheet1'!$F$32:$F$35","'Sheet1'!$F$32:$F$36"}</definedName>
    <definedName name="梅兰日兰UPS" localSheetId="4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localSheetId="6" hidden="1">{"'Sheet1'!$A$1:$J$57","'Sheet1'!$F$32:$F$35","'Sheet1'!$F$32:$F$36"}</definedName>
    <definedName name="梅兰日兰UPS" localSheetId="2" hidden="1">{"'Sheet1'!$A$1:$J$57","'Sheet1'!$F$32:$F$35","'Sheet1'!$F$32:$F$36"}</definedName>
    <definedName name="梅兰日兰UPS" localSheetId="5" hidden="1">{"'Sheet1'!$A$1:$J$57","'Sheet1'!$F$32:$F$35","'Sheet1'!$F$32:$F$36"}</definedName>
    <definedName name="梅兰日兰UPS" localSheetId="7" hidden="1">{"'Sheet1'!$A$1:$J$57","'Sheet1'!$F$32:$F$35","'Sheet1'!$F$32:$F$36"}</definedName>
    <definedName name="梅兰日兰UPS" localSheetId="1" hidden="1">{"'Sheet1'!$A$1:$J$57","'Sheet1'!$F$32:$F$35","'Sheet1'!$F$32:$F$36"}</definedName>
    <definedName name="梅兰日兰UPS" hidden="1">{"'Sheet1'!$A$1:$J$57","'Sheet1'!$F$32:$F$35","'Sheet1'!$F$32:$F$36"}</definedName>
    <definedName name="ㅅㄴ" localSheetId="4" hidden="1">{"'Sheet1'!$A$1:$J$57","'Sheet1'!$F$32:$F$35","'Sheet1'!$F$32:$F$36"}</definedName>
    <definedName name="ㅅㄴ" localSheetId="3" hidden="1">{"'Sheet1'!$A$1:$J$57","'Sheet1'!$F$32:$F$35","'Sheet1'!$F$32:$F$36"}</definedName>
    <definedName name="ㅅㄴ" localSheetId="6" hidden="1">{"'Sheet1'!$A$1:$J$57","'Sheet1'!$F$32:$F$35","'Sheet1'!$F$32:$F$36"}</definedName>
    <definedName name="ㅅㄴ" localSheetId="2" hidden="1">{"'Sheet1'!$A$1:$J$57","'Sheet1'!$F$32:$F$35","'Sheet1'!$F$32:$F$36"}</definedName>
    <definedName name="ㅅㄴ" localSheetId="5" hidden="1">{"'Sheet1'!$A$1:$J$57","'Sheet1'!$F$32:$F$35","'Sheet1'!$F$32:$F$36"}</definedName>
    <definedName name="ㅅㄴ" localSheetId="7" hidden="1">{"'Sheet1'!$A$1:$J$57","'Sheet1'!$F$32:$F$35","'Sheet1'!$F$32:$F$36"}</definedName>
    <definedName name="ㅅㄴ" localSheetId="1" hidden="1">{"'Sheet1'!$A$1:$J$57","'Sheet1'!$F$32:$F$35","'Sheet1'!$F$32:$F$36"}</definedName>
    <definedName name="ㅅㄴ" hidden="1">{"'Sheet1'!$A$1:$J$57","'Sheet1'!$F$32:$F$35","'Sheet1'!$F$32:$F$36"}</definedName>
    <definedName name="总价12" localSheetId="4" hidden="1">{"'Sheet1'!$A$1:$J$57","'Sheet1'!$F$32:$F$35","'Sheet1'!$F$32:$F$36"}</definedName>
    <definedName name="总价12" localSheetId="3" hidden="1">{"'Sheet1'!$A$1:$J$57","'Sheet1'!$F$32:$F$35","'Sheet1'!$F$32:$F$36"}</definedName>
    <definedName name="总价12" localSheetId="6" hidden="1">{"'Sheet1'!$A$1:$J$57","'Sheet1'!$F$32:$F$35","'Sheet1'!$F$32:$F$36"}</definedName>
    <definedName name="总价12" localSheetId="2" hidden="1">{"'Sheet1'!$A$1:$J$57","'Sheet1'!$F$32:$F$35","'Sheet1'!$F$32:$F$36"}</definedName>
    <definedName name="总价12" localSheetId="5" hidden="1">{"'Sheet1'!$A$1:$J$57","'Sheet1'!$F$32:$F$35","'Sheet1'!$F$32:$F$36"}</definedName>
    <definedName name="总价12" localSheetId="7" hidden="1">{"'Sheet1'!$A$1:$J$57","'Sheet1'!$F$32:$F$35","'Sheet1'!$F$32:$F$36"}</definedName>
    <definedName name="总价12" localSheetId="1" hidden="1">{"'Sheet1'!$A$1:$J$57","'Sheet1'!$F$32:$F$35","'Sheet1'!$F$32:$F$36"}</definedName>
    <definedName name="总价12" hidden="1">{"'Sheet1'!$A$1:$J$57","'Sheet1'!$F$32:$F$35","'Sheet1'!$F$32:$F$36"}</definedName>
  </definedNames>
  <calcPr calcId="191029"/>
</workbook>
</file>

<file path=xl/calcChain.xml><?xml version="1.0" encoding="utf-8"?>
<calcChain xmlns="http://schemas.openxmlformats.org/spreadsheetml/2006/main">
  <c r="A7" i="9" l="1"/>
  <c r="A6" i="9"/>
  <c r="A9" i="9" l="1"/>
  <c r="A8" i="9"/>
  <c r="A4" i="9"/>
  <c r="A2" i="9"/>
  <c r="A4" i="8"/>
  <c r="A2" i="8"/>
  <c r="A8" i="7"/>
  <c r="A7" i="7"/>
  <c r="A6" i="7"/>
  <c r="A4" i="7"/>
  <c r="A2" i="7"/>
  <c r="A8" i="6"/>
  <c r="A7" i="6"/>
  <c r="A6" i="6"/>
  <c r="A4" i="6"/>
  <c r="A2" i="6"/>
  <c r="A6" i="5"/>
  <c r="A4" i="5"/>
  <c r="A2" i="5"/>
  <c r="A6" i="4"/>
  <c r="A4" i="4"/>
  <c r="A2" i="4"/>
  <c r="A7" i="3"/>
  <c r="A6" i="3"/>
  <c r="A4" i="3"/>
  <c r="A2" i="3"/>
</calcChain>
</file>

<file path=xl/sharedStrings.xml><?xml version="1.0" encoding="utf-8"?>
<sst xmlns="http://schemas.openxmlformats.org/spreadsheetml/2006/main" count="524" uniqueCount="161">
  <si>
    <t>요구사항정의서 및 GAP 분석서</t>
  </si>
  <si>
    <t>유티아이 베트남 그룹웨어 시스템 구축</t>
  </si>
  <si>
    <t>2026.03.12</t>
  </si>
  <si>
    <t>그룹웨어 구축 TFT</t>
  </si>
  <si>
    <t>제/개 정 이 력</t>
  </si>
  <si>
    <t>개정번호</t>
  </si>
  <si>
    <t>작성자</t>
  </si>
  <si>
    <t>제/개정 페이지 및 내용</t>
  </si>
  <si>
    <t>제/개정일자</t>
  </si>
  <si>
    <t>강민석</t>
  </si>
  <si>
    <t>최초 작성</t>
  </si>
  <si>
    <t>▣ 작성자:</t>
  </si>
  <si>
    <t>▣ 작성일:</t>
  </si>
  <si>
    <t>기타</t>
  </si>
  <si>
    <t>NO</t>
  </si>
  <si>
    <t>서브
시스템</t>
  </si>
  <si>
    <t>요구사항 ID</t>
  </si>
  <si>
    <t>요구사항 명</t>
  </si>
  <si>
    <t>요구사항</t>
  </si>
  <si>
    <t>요구사항 상세 설명</t>
  </si>
  <si>
    <t>매핑/GAP분석</t>
  </si>
  <si>
    <t>GAP대응방안</t>
  </si>
  <si>
    <t>분류</t>
  </si>
  <si>
    <t>수용 
여부</t>
  </si>
  <si>
    <t>요구사항출처</t>
  </si>
  <si>
    <t>요구추적 출처</t>
  </si>
  <si>
    <t>관련부서</t>
  </si>
  <si>
    <t>비고</t>
  </si>
  <si>
    <t>계열사</t>
  </si>
  <si>
    <t>계열사 2개사 반영
1. UTI VINA (V1)
2. UTI VINA Vinh Phuc (V2)</t>
  </si>
  <si>
    <t>기능</t>
  </si>
  <si>
    <t>수용</t>
  </si>
  <si>
    <t>영업인수인계자료, 260306인터뷰</t>
  </si>
  <si>
    <t>다국어</t>
  </si>
  <si>
    <t>다국어 지원 (한국어, 영어, 베트남어)</t>
  </si>
  <si>
    <t>베트남 현지화를 위한 베트남어 적용
(기계어번역으로 제공하여 고객사에서 검수(보정)하는 방식으로 진행)</t>
  </si>
  <si>
    <t>영업인수인계자료, 260307인터뷰</t>
  </si>
  <si>
    <t>자원예약</t>
  </si>
  <si>
    <t>자원예약 &lt;&gt; 아웃룩 회의실 동기화 연동 (현재 아웃룩 회의실 예약과 월패트간 양방향 싱크는 기 구성)</t>
  </si>
  <si>
    <t>영업인수인계자료, 260308인터뷰</t>
  </si>
  <si>
    <t>일정관리</t>
  </si>
  <si>
    <t>일정관리 &lt;&gt; 아웃룩 동기화 연동 요청</t>
  </si>
  <si>
    <t>영업인수인계자료, 260309인터뷰</t>
  </si>
  <si>
    <t>전자결재</t>
  </si>
  <si>
    <t>REQ-WFW-001</t>
  </si>
  <si>
    <t>일반양식</t>
  </si>
  <si>
    <t>계열사간 결재</t>
  </si>
  <si>
    <t>계열사간 결재기능 제공 필수
(V1, V2간 사간결재)</t>
  </si>
  <si>
    <t>영업인수인계자료, 260311인터뷰</t>
  </si>
  <si>
    <t>REQ-WFW-002</t>
  </si>
  <si>
    <t>일반양식 개발</t>
  </si>
  <si>
    <t>일반양식 15종 (미확정)</t>
  </si>
  <si>
    <t>영업인수인계자료, 260312인터뷰</t>
  </si>
  <si>
    <t>REQ-WFW-003</t>
  </si>
  <si>
    <t>사용자별로 각자 언어로 표시되도록</t>
  </si>
  <si>
    <t>양식 포멧의 언어는 가능하나 본문내용의 언어는 변환 불가함</t>
  </si>
  <si>
    <t>영업인수인계자료, 260313인터뷰</t>
  </si>
  <si>
    <t>웹메일</t>
  </si>
  <si>
    <t>REQ-WML-001</t>
  </si>
  <si>
    <t>구성</t>
  </si>
  <si>
    <t>exchange 기반 웹메일 구성</t>
  </si>
  <si>
    <t>영업인수인계자료, 260310인터뷰</t>
  </si>
  <si>
    <t>Outlook Add-in</t>
  </si>
  <si>
    <t>REQ-ODD-001</t>
  </si>
  <si>
    <t>대용량, 조직도 포함</t>
  </si>
  <si>
    <t>조직도</t>
  </si>
  <si>
    <t>REQ-ORG-001</t>
  </si>
  <si>
    <t>인사연동</t>
  </si>
  <si>
    <t>V1: 수동 , V2: 영림원 연계</t>
  </si>
  <si>
    <t>영림원 ERP(MSSQL)는 view 로 제공예정
그룹웨어 조직도 연동 대상-DB, AD</t>
  </si>
  <si>
    <t>REQ-ORG-002</t>
  </si>
  <si>
    <t>M365 동기화</t>
  </si>
  <si>
    <t>M365 계정 동기화 (로컬 AD와 entra ID간 싱크 구성 중)</t>
  </si>
  <si>
    <t>REQ-ORG-003</t>
  </si>
  <si>
    <t>계열사 다보이게</t>
  </si>
  <si>
    <t>V1, V2 양사 다 보이게
대상: 포탈, 전자결재, 이음톡</t>
  </si>
  <si>
    <t>이음톡</t>
  </si>
  <si>
    <t>REQ-EUM-001</t>
  </si>
  <si>
    <t>메신저</t>
  </si>
  <si>
    <t>외부 사용자</t>
  </si>
  <si>
    <t>vendor 사에서도 사용할수있도록 요청</t>
  </si>
  <si>
    <t>REQ-EUM-002</t>
  </si>
  <si>
    <t>사간 채팅기능 구현</t>
  </si>
  <si>
    <t xml:space="preserve">V1, V2간 채팅기능 구현 요청 고려
</t>
  </si>
  <si>
    <t>REQ-EUM-003</t>
  </si>
  <si>
    <t>베트남어 적용</t>
  </si>
  <si>
    <t>REQ-COW-001</t>
    <phoneticPr fontId="10" type="noConversion"/>
  </si>
  <si>
    <t>REQ-COW-002</t>
  </si>
  <si>
    <t>Add-in</t>
    <phoneticPr fontId="10" type="noConversion"/>
  </si>
  <si>
    <t>Outlook Add-in 구성</t>
    <phoneticPr fontId="10" type="noConversion"/>
  </si>
  <si>
    <t>REQ-COW-003</t>
  </si>
  <si>
    <t>REQ-COW-004</t>
  </si>
  <si>
    <t>협업</t>
    <phoneticPr fontId="10" type="noConversion"/>
  </si>
  <si>
    <t>계열사별 서브도메인 설정</t>
    <phoneticPr fontId="10" type="noConversion"/>
  </si>
  <si>
    <t>그룹웨어에서 사용하는 모든 다국어를 추출하여 번역기를 사용하여 베트남어로 변경 후 고객사 최종 확인 후 적용</t>
    <phoneticPr fontId="10" type="noConversion"/>
  </si>
  <si>
    <t>고객사에서 사용중인 Exchange 회의실 목록 및 메일주소를 전달받아 그룹웨어에서 생성 후 Exchange자원예약과 매핑</t>
    <phoneticPr fontId="10" type="noConversion"/>
  </si>
  <si>
    <t>개인일정만 Exchange와 연동되며 회사, 부서 등은 연동 대상에서 제외</t>
    <phoneticPr fontId="10" type="noConversion"/>
  </si>
  <si>
    <t>기간내 구현가능</t>
    <phoneticPr fontId="10" type="noConversion"/>
  </si>
  <si>
    <t>011. UTI베트남_그룹웨어_회의록(전자결재2차)_20260407</t>
    <phoneticPr fontId="10" type="noConversion"/>
  </si>
  <si>
    <t>일반양식 11종 증가 (총 26종)</t>
    <phoneticPr fontId="10" type="noConversion"/>
  </si>
  <si>
    <t>REQ-WFW-004</t>
  </si>
  <si>
    <t>REQ-WFW-005</t>
  </si>
  <si>
    <t>REQ-WFW-006</t>
  </si>
  <si>
    <t>REQ-WFW-007</t>
  </si>
  <si>
    <t>REQ-WFW-008</t>
  </si>
  <si>
    <t>REQ-WFW-009</t>
  </si>
  <si>
    <t>REQ-WFW-010</t>
  </si>
  <si>
    <t>REQ-WFW-011</t>
  </si>
  <si>
    <t>REQ-WFW-012</t>
  </si>
  <si>
    <t>REQ-WFW-013</t>
  </si>
  <si>
    <t>REQ-WFW-014</t>
  </si>
  <si>
    <t>REQ-WFW-015</t>
  </si>
  <si>
    <t>REQ-WFW-016</t>
  </si>
  <si>
    <t>REQ-WFW-017</t>
  </si>
  <si>
    <t>REQ-WFW-018</t>
  </si>
  <si>
    <t>REQ-WFW-019</t>
  </si>
  <si>
    <t>REQ-WFW-020</t>
  </si>
  <si>
    <t>REQ-WFW-021</t>
  </si>
  <si>
    <t>REQ-WFW-022</t>
  </si>
  <si>
    <t>REQ-WFW-023</t>
  </si>
  <si>
    <t>REQ-WFW-024</t>
  </si>
  <si>
    <t>REQ-WFW-025</t>
  </si>
  <si>
    <t>REQ-WFW-026</t>
  </si>
  <si>
    <t>REQ-WFW-027</t>
  </si>
  <si>
    <t>REQ-WFW-028</t>
  </si>
  <si>
    <t>REQ-WFW-029</t>
  </si>
  <si>
    <t>양식개발</t>
    <phoneticPr fontId="10" type="noConversion"/>
  </si>
  <si>
    <t>개발</t>
    <phoneticPr fontId="10" type="noConversion"/>
  </si>
  <si>
    <t>없음</t>
    <phoneticPr fontId="10" type="noConversion"/>
  </si>
  <si>
    <t>기능</t>
    <phoneticPr fontId="10" type="noConversion"/>
  </si>
  <si>
    <t>수용</t>
    <phoneticPr fontId="10" type="noConversion"/>
  </si>
  <si>
    <t>011. UTI베트남_그룹웨어_회의록(전자결재2차)_20260407</t>
    <phoneticPr fontId="10" type="noConversion"/>
  </si>
  <si>
    <t>[일반양식]법인카드 사용내역서</t>
  </si>
  <si>
    <t>[일반양식]시행문</t>
  </si>
  <si>
    <t>[일반양식]기안문</t>
  </si>
  <si>
    <t>[일반양식]구매요청서</t>
  </si>
  <si>
    <t>[일반양식]개인 비용 청구서</t>
  </si>
  <si>
    <t>[일반양식]출장경비 내역서</t>
  </si>
  <si>
    <t>[일반양식]업무협조전</t>
  </si>
  <si>
    <t>[일반양식]회의록</t>
  </si>
  <si>
    <t>[일반양식]물품지급요청서</t>
  </si>
  <si>
    <t>[일반양식]ERP 계정 및 권한 신청서</t>
  </si>
  <si>
    <t>[일반양식]ERP 데이터 변경 요청서</t>
  </si>
  <si>
    <t>[일반양식]휴가신청서</t>
  </si>
  <si>
    <t>[일반양식]법인카드 사용신청서</t>
  </si>
  <si>
    <t>[일반양식]직원 충원요청서</t>
  </si>
  <si>
    <t>[일반양식]출장/연수 신청서</t>
  </si>
  <si>
    <t>[일반양식]경조비 지급 신청서</t>
  </si>
  <si>
    <t>[일반양식]교육신청서</t>
  </si>
  <si>
    <t>[일반양식]부서이동요청서</t>
  </si>
  <si>
    <t>[일반양식]사직서</t>
  </si>
  <si>
    <t>[일반양식]USB 사용 신청서</t>
  </si>
  <si>
    <t>[일반양식]회사 증명서 신청서</t>
  </si>
  <si>
    <t>[일반양식]OT 및 특근확인서</t>
  </si>
  <si>
    <t>[일반양식]교육결과보고서</t>
  </si>
  <si>
    <t>[일반양식]출장/연수 보고서</t>
  </si>
  <si>
    <t>[일반양식]사고경위서</t>
  </si>
  <si>
    <t>[일반양식]시말서</t>
  </si>
  <si>
    <t>V1, V2모두 수동관리
최초 1회 엑셀기반으로 수동이관
그룹웨어 조직도 연동 대상-DB, AD</t>
    <phoneticPr fontId="10" type="noConversion"/>
  </si>
  <si>
    <t>V1, V2모두 수동관리</t>
    <phoneticPr fontId="10" type="noConversion"/>
  </si>
  <si>
    <t>011. UTI베트남_그룹웨어_회의록(조직도2차)_20260415.docx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</si>
</sst>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_-* #,##0.00_-;&quot;₩&quot;&quot;₩&quot;&quot;₩&quot;\-* #,##0.00_-;_-* &quot;-&quot;??_-;_-@_-"/>
    <numFmt numFmtId="178" formatCode="&quot;₩&quot;&quot;₩&quot;&quot;₩&quot;\$#,##0.00_);&quot;₩&quot;&quot;₩&quot;\(&quot;₩&quot;&quot;₩&quot;&quot;₩&quot;\$#,##0.00&quot;₩&quot;&quot;₩&quot;&quot;₩&quot;\)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_-* #,##0.00_-;&quot;₩&quot;&quot;₩&quot;&quot;₩&quot;&quot;₩&quot;&quot;₩&quot;\-* #,##0.00_-;_-* &quot;-&quot;??_-;_-@_-"/>
    <numFmt numFmtId="183" formatCode="_-* #,##0&quot;₩&quot;\ _D_M_-;&quot;₩&quot;\-* #,##0&quot;₩&quot;\ _D_M_-;_-* &quot;-&quot;&quot;₩&quot;\ _D_M_-;_-@_-"/>
    <numFmt numFmtId="184" formatCode="* #,##0.0"/>
    <numFmt numFmtId="185" formatCode="#,##0.00000"/>
    <numFmt numFmtId="186" formatCode="_ * #,##0_ ;_ * &quot;₩&quot;\-#,##0_ ;_ * &quot;-&quot;??_ ;_ @_ "/>
    <numFmt numFmtId="187" formatCode="0.0%;[Red]&quot;△&quot;0.0%"/>
    <numFmt numFmtId="188" formatCode="0.00000000"/>
    <numFmt numFmtId="189" formatCode="_(&quot;$&quot;* #,##0.0_);_(&quot;$&quot;* \(#,##0.0\);_(&quot;$&quot;* &quot;-&quot;_);_(@_)"/>
    <numFmt numFmtId="190" formatCode="_ * #,##0_ ;_ * \-#,##0_ ;_ * &quot;-&quot;_ ;_ @_ "/>
    <numFmt numFmtId="191" formatCode="_-* #,##0_-;&quot;₩&quot;&quot;₩&quot;&quot;₩&quot;&quot;₩&quot;&quot;₩&quot;&quot;₩&quot;&quot;₩&quot;&quot;₩&quot;&quot;₩&quot;&quot;₩&quot;&quot;₩&quot;&quot;₩&quot;&quot;₩&quot;&quot;₩&quot;\-* #,##0_-;_-* &quot;-&quot;_-;_-@_-"/>
    <numFmt numFmtId="192" formatCode="_ * #,##0.00_ ;_ * \-#,##0.00_ ;_ * &quot;-&quot;??_ ;_ @_ "/>
    <numFmt numFmtId="193" formatCode="_(&quot;$&quot;* #,##0.00_);_(&quot;$&quot;* \(#,##0.00\);_(&quot;$&quot;* &quot;-&quot;??_);_(@_)"/>
    <numFmt numFmtId="194" formatCode="_-&quot;₩&quot;* #,##0.00_-;&quot;₩&quot;&quot;₩&quot;&quot;₩&quot;&quot;₩&quot;&quot;₩&quot;&quot;₩&quot;&quot;₩&quot;&quot;₩&quot;&quot;₩&quot;&quot;₩&quot;&quot;₩&quot;&quot;₩&quot;&quot;₩&quot;&quot;₩&quot;&quot;₩&quot;&quot;₩&quot;\-&quot;₩&quot;* #,##0.00_-;_-&quot;₩&quot;* &quot;-&quot;??_-;_-@_-"/>
    <numFmt numFmtId="195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&quot;₩&quot;#,##0"/>
    <numFmt numFmtId="196" formatCode="###,###,"/>
    <numFmt numFmtId="197" formatCode="#,##0_ "/>
    <numFmt numFmtId="198" formatCode="#.##,"/>
    <numFmt numFmtId="199" formatCode="0.00000%"/>
    <numFmt numFmtId="200" formatCode="_ &quot;₩&quot;* #,##0.0000000_ ;_ &quot;₩&quot;* &quot;₩&quot;\-#,##0.0000000_ ;_ &quot;₩&quot;* &quot;-&quot;??_ ;_ @_ "/>
    <numFmt numFmtId="201" formatCode="#,##0;[Red]&quot;△&quot;#,##0"/>
    <numFmt numFmtId="202" formatCode="_ * #,##0.000000_ ;_ * &quot;₩&quot;\-#,##0.000000_ ;_ * &quot;-&quot;??_ ;_ @_ "/>
    <numFmt numFmtId="203" formatCode="#,##0.0"/>
    <numFmt numFmtId="204" formatCode="m&quot;/&quot;d"/>
  </numFmts>
  <fonts count="4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20"/>
      <name val="HP Logo LG"/>
      <charset val="2"/>
    </font>
    <font>
      <u/>
      <sz val="8"/>
      <color indexed="12"/>
      <name val="Times New Roman"/>
      <family val="1"/>
    </font>
    <font>
      <sz val="10"/>
      <color indexed="8"/>
      <name val="MS Sans Serif"/>
      <family val="2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u/>
      <sz val="11"/>
      <color indexed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04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177" fontId="11" fillId="0" borderId="0"/>
    <xf numFmtId="178" fontId="11" fillId="0" borderId="0"/>
    <xf numFmtId="0" fontId="4" fillId="0" borderId="0"/>
    <xf numFmtId="0" fontId="2" fillId="0" borderId="0"/>
    <xf numFmtId="0" fontId="5" fillId="0" borderId="0"/>
    <xf numFmtId="179" fontId="11" fillId="0" borderId="0"/>
    <xf numFmtId="179" fontId="11" fillId="0" borderId="0"/>
    <xf numFmtId="180" fontId="11" fillId="0" borderId="0"/>
    <xf numFmtId="180" fontId="11" fillId="0" borderId="0"/>
    <xf numFmtId="181" fontId="11" fillId="0" borderId="0"/>
    <xf numFmtId="181" fontId="11" fillId="0" borderId="0"/>
    <xf numFmtId="38" fontId="6" fillId="2" borderId="0"/>
    <xf numFmtId="0" fontId="7" fillId="0" borderId="0">
      <alignment horizontal="left"/>
    </xf>
    <xf numFmtId="0" fontId="8" fillId="0" borderId="1">
      <alignment horizontal="left" vertical="center"/>
    </xf>
    <xf numFmtId="0" fontId="8" fillId="0" borderId="2">
      <alignment horizontal="left" vertical="center"/>
    </xf>
    <xf numFmtId="10" fontId="6" fillId="2" borderId="3"/>
    <xf numFmtId="0" fontId="9" fillId="0" borderId="4"/>
    <xf numFmtId="182" fontId="11" fillId="0" borderId="0"/>
    <xf numFmtId="182" fontId="11" fillId="0" borderId="0"/>
    <xf numFmtId="10" fontId="2" fillId="0" borderId="0"/>
    <xf numFmtId="0" fontId="9" fillId="0" borderId="0"/>
    <xf numFmtId="0" fontId="2" fillId="0" borderId="0"/>
    <xf numFmtId="0" fontId="11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1" fillId="0" borderId="0"/>
    <xf numFmtId="0" fontId="18" fillId="0" borderId="0"/>
    <xf numFmtId="0" fontId="2" fillId="0" borderId="0"/>
    <xf numFmtId="0" fontId="3" fillId="0" borderId="0"/>
    <xf numFmtId="0" fontId="3" fillId="0" borderId="0"/>
    <xf numFmtId="0" fontId="18" fillId="0" borderId="0"/>
    <xf numFmtId="0" fontId="2" fillId="0" borderId="0"/>
    <xf numFmtId="0" fontId="3" fillId="0" borderId="0"/>
    <xf numFmtId="0" fontId="18" fillId="0" borderId="0"/>
    <xf numFmtId="9" fontId="2" fillId="3" borderId="0"/>
    <xf numFmtId="0" fontId="11" fillId="0" borderId="0"/>
    <xf numFmtId="183" fontId="11" fillId="0" borderId="0"/>
    <xf numFmtId="184" fontId="11" fillId="0" borderId="0"/>
    <xf numFmtId="185" fontId="11" fillId="0" borderId="0"/>
    <xf numFmtId="186" fontId="11" fillId="0" borderId="0"/>
    <xf numFmtId="187" fontId="11" fillId="0" borderId="0"/>
    <xf numFmtId="188" fontId="11" fillId="0" borderId="0"/>
    <xf numFmtId="183" fontId="11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90" fontId="2" fillId="0" borderId="0"/>
    <xf numFmtId="187" fontId="11" fillId="0" borderId="0"/>
    <xf numFmtId="191" fontId="11" fillId="0" borderId="0"/>
    <xf numFmtId="192" fontId="2" fillId="0" borderId="0"/>
    <xf numFmtId="42" fontId="2" fillId="0" borderId="0"/>
    <xf numFmtId="183" fontId="11" fillId="0" borderId="0"/>
    <xf numFmtId="193" fontId="2" fillId="0" borderId="0"/>
    <xf numFmtId="194" fontId="11" fillId="0" borderId="0"/>
    <xf numFmtId="14" fontId="19" fillId="0" borderId="0"/>
    <xf numFmtId="38" fontId="4" fillId="0" borderId="7">
      <alignment vertical="center"/>
    </xf>
    <xf numFmtId="195" fontId="11" fillId="0" borderId="0"/>
    <xf numFmtId="187" fontId="11" fillId="0" borderId="0"/>
    <xf numFmtId="183" fontId="11" fillId="0" borderId="0"/>
    <xf numFmtId="187" fontId="11" fillId="0" borderId="0"/>
    <xf numFmtId="188" fontId="11" fillId="0" borderId="0"/>
    <xf numFmtId="183" fontId="11" fillId="0" borderId="0"/>
    <xf numFmtId="38" fontId="6" fillId="4" borderId="0"/>
    <xf numFmtId="0" fontId="20" fillId="0" borderId="8"/>
    <xf numFmtId="0" fontId="6" fillId="0" borderId="8">
      <alignment horizontal="center" vertical="center"/>
    </xf>
    <xf numFmtId="0" fontId="21" fillId="0" borderId="8">
      <alignment horizontal="center" vertical="center"/>
    </xf>
    <xf numFmtId="0" fontId="8" fillId="0" borderId="6">
      <alignment horizontal="left" vertical="center"/>
    </xf>
    <xf numFmtId="0" fontId="22" fillId="0" borderId="8">
      <alignment horizontal="center" vertical="center"/>
    </xf>
    <xf numFmtId="0" fontId="23" fillId="0" borderId="0">
      <alignment vertical="top"/>
      <protection locked="0"/>
    </xf>
    <xf numFmtId="10" fontId="6" fillId="5" borderId="3"/>
    <xf numFmtId="196" fontId="11" fillId="0" borderId="0"/>
    <xf numFmtId="197" fontId="11" fillId="0" borderId="0"/>
    <xf numFmtId="187" fontId="11" fillId="0" borderId="0"/>
    <xf numFmtId="183" fontId="11" fillId="0" borderId="0"/>
    <xf numFmtId="187" fontId="11" fillId="0" borderId="0"/>
    <xf numFmtId="188" fontId="11" fillId="0" borderId="0"/>
    <xf numFmtId="183" fontId="11" fillId="0" borderId="0"/>
    <xf numFmtId="198" fontId="11" fillId="0" borderId="0"/>
    <xf numFmtId="0" fontId="2" fillId="0" borderId="0"/>
    <xf numFmtId="186" fontId="11" fillId="0" borderId="0"/>
    <xf numFmtId="199" fontId="11" fillId="0" borderId="0"/>
    <xf numFmtId="200" fontId="11" fillId="0" borderId="0"/>
    <xf numFmtId="187" fontId="11" fillId="0" borderId="0"/>
    <xf numFmtId="183" fontId="11" fillId="0" borderId="0"/>
    <xf numFmtId="187" fontId="11" fillId="0" borderId="0"/>
    <xf numFmtId="188" fontId="11" fillId="0" borderId="0"/>
    <xf numFmtId="183" fontId="11" fillId="0" borderId="0"/>
    <xf numFmtId="9" fontId="24" fillId="0" borderId="0"/>
    <xf numFmtId="0" fontId="11" fillId="0" borderId="0"/>
    <xf numFmtId="0" fontId="24" fillId="0" borderId="0"/>
    <xf numFmtId="49" fontId="19" fillId="0" borderId="0"/>
    <xf numFmtId="200" fontId="11" fillId="0" borderId="0"/>
    <xf numFmtId="201" fontId="11" fillId="0" borderId="0"/>
    <xf numFmtId="202" fontId="11" fillId="0" borderId="0"/>
    <xf numFmtId="203" fontId="11" fillId="0" borderId="0"/>
    <xf numFmtId="0" fontId="25" fillId="0" borderId="0">
      <alignment vertical="top"/>
      <protection locked="0"/>
    </xf>
    <xf numFmtId="40" fontId="26" fillId="0" borderId="0"/>
    <xf numFmtId="38" fontId="26" fillId="0" borderId="0"/>
    <xf numFmtId="0" fontId="26" fillId="0" borderId="0"/>
    <xf numFmtId="0" fontId="26" fillId="0" borderId="0"/>
    <xf numFmtId="9" fontId="17" fillId="0" borderId="0">
      <alignment vertical="center"/>
    </xf>
    <xf numFmtId="9" fontId="11" fillId="0" borderId="0"/>
    <xf numFmtId="0" fontId="27" fillId="0" borderId="0"/>
    <xf numFmtId="41" fontId="17" fillId="0" borderId="0">
      <alignment vertical="center"/>
    </xf>
    <xf numFmtId="41" fontId="11" fillId="0" borderId="0"/>
    <xf numFmtId="0" fontId="18" fillId="0" borderId="0"/>
    <xf numFmtId="0" fontId="28" fillId="0" borderId="9"/>
    <xf numFmtId="204" fontId="3" fillId="0" borderId="0"/>
    <xf numFmtId="0" fontId="3" fillId="0" borderId="0"/>
    <xf numFmtId="190" fontId="3" fillId="0" borderId="0"/>
    <xf numFmtId="192" fontId="3" fillId="0" borderId="0"/>
    <xf numFmtId="193" fontId="2" fillId="0" borderId="0"/>
    <xf numFmtId="42" fontId="11" fillId="0" borderId="0"/>
    <xf numFmtId="42" fontId="11" fillId="0" borderId="0"/>
    <xf numFmtId="42" fontId="2" fillId="0" borderId="0"/>
    <xf numFmtId="0" fontId="17" fillId="0" borderId="0">
      <alignment vertical="center"/>
    </xf>
    <xf numFmtId="0" fontId="11" fillId="0" borderId="0"/>
    <xf numFmtId="0" fontId="12" fillId="0" borderId="0">
      <alignment vertical="center"/>
    </xf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2" fillId="0" borderId="0"/>
    <xf numFmtId="0" fontId="29" fillId="0" borderId="0">
      <alignment vertical="top"/>
      <protection locked="0"/>
    </xf>
    <xf numFmtId="0" fontId="2" fillId="0" borderId="0"/>
    <xf numFmtId="0" fontId="2" fillId="0" borderId="0"/>
    <xf numFmtId="10" fontId="6" fillId="5" borderId="1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11" fillId="0" borderId="0"/>
    <xf numFmtId="180" fontId="11" fillId="0" borderId="0"/>
    <xf numFmtId="181" fontId="11" fillId="0" borderId="0"/>
    <xf numFmtId="10" fontId="6" fillId="2" borderId="10"/>
    <xf numFmtId="182" fontId="11" fillId="0" borderId="0"/>
    <xf numFmtId="0" fontId="11" fillId="0" borderId="0">
      <alignment vertical="center"/>
    </xf>
    <xf numFmtId="0" fontId="17" fillId="0" borderId="0">
      <alignment vertical="center"/>
    </xf>
    <xf numFmtId="0" fontId="11" fillId="0" borderId="0"/>
    <xf numFmtId="0" fontId="11" fillId="0" borderId="0"/>
    <xf numFmtId="183" fontId="11" fillId="0" borderId="0"/>
    <xf numFmtId="184" fontId="11" fillId="0" borderId="0"/>
    <xf numFmtId="185" fontId="11" fillId="0" borderId="0"/>
    <xf numFmtId="186" fontId="11" fillId="0" borderId="0"/>
    <xf numFmtId="187" fontId="11" fillId="0" borderId="0"/>
    <xf numFmtId="188" fontId="11" fillId="0" borderId="0"/>
    <xf numFmtId="183" fontId="11" fillId="0" borderId="0"/>
    <xf numFmtId="187" fontId="11" fillId="0" borderId="0"/>
    <xf numFmtId="191" fontId="11" fillId="0" borderId="0"/>
    <xf numFmtId="183" fontId="11" fillId="0" borderId="0"/>
    <xf numFmtId="194" fontId="11" fillId="0" borderId="0"/>
    <xf numFmtId="195" fontId="11" fillId="0" borderId="0"/>
    <xf numFmtId="187" fontId="11" fillId="0" borderId="0"/>
    <xf numFmtId="183" fontId="11" fillId="0" borderId="0"/>
    <xf numFmtId="187" fontId="11" fillId="0" borderId="0"/>
    <xf numFmtId="188" fontId="11" fillId="0" borderId="0"/>
    <xf numFmtId="183" fontId="11" fillId="0" borderId="0"/>
    <xf numFmtId="10" fontId="6" fillId="5" borderId="10"/>
    <xf numFmtId="187" fontId="11" fillId="0" borderId="0"/>
    <xf numFmtId="183" fontId="11" fillId="0" borderId="0"/>
    <xf numFmtId="187" fontId="11" fillId="0" borderId="0"/>
    <xf numFmtId="188" fontId="11" fillId="0" borderId="0"/>
    <xf numFmtId="183" fontId="11" fillId="0" borderId="0"/>
    <xf numFmtId="198" fontId="11" fillId="0" borderId="0"/>
    <xf numFmtId="186" fontId="11" fillId="0" borderId="0"/>
    <xf numFmtId="199" fontId="11" fillId="0" borderId="0"/>
    <xf numFmtId="187" fontId="11" fillId="0" borderId="0"/>
    <xf numFmtId="183" fontId="11" fillId="0" borderId="0"/>
    <xf numFmtId="187" fontId="11" fillId="0" borderId="0"/>
    <xf numFmtId="188" fontId="11" fillId="0" borderId="0"/>
    <xf numFmtId="183" fontId="11" fillId="0" borderId="0"/>
    <xf numFmtId="0" fontId="11" fillId="0" borderId="0"/>
    <xf numFmtId="200" fontId="11" fillId="0" borderId="0"/>
    <xf numFmtId="201" fontId="11" fillId="0" borderId="0"/>
    <xf numFmtId="9" fontId="17" fillId="0" borderId="0">
      <alignment vertical="center"/>
    </xf>
    <xf numFmtId="9" fontId="11" fillId="0" borderId="0"/>
    <xf numFmtId="41" fontId="17" fillId="0" borderId="0">
      <alignment vertical="center"/>
    </xf>
    <xf numFmtId="41" fontId="11" fillId="0" borderId="0"/>
    <xf numFmtId="42" fontId="11" fillId="0" borderId="0"/>
    <xf numFmtId="42" fontId="11" fillId="0" borderId="0"/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1" fillId="0" borderId="0"/>
    <xf numFmtId="0" fontId="17" fillId="0" borderId="0">
      <alignment vertical="center"/>
    </xf>
  </cellStyleXfs>
  <cellXfs count="123">
    <xf numFmtId="0" fontId="0" fillId="0" borderId="0" xfId="0"/>
    <xf numFmtId="0" fontId="1" fillId="0" borderId="0" xfId="198" applyFont="1">
      <alignment vertical="center"/>
    </xf>
    <xf numFmtId="0" fontId="31" fillId="0" borderId="0" xfId="198" applyFont="1">
      <alignment vertical="center"/>
    </xf>
    <xf numFmtId="0" fontId="30" fillId="6" borderId="0" xfId="198" applyFont="1" applyFill="1">
      <alignment vertical="center"/>
    </xf>
    <xf numFmtId="0" fontId="32" fillId="6" borderId="0" xfId="198" applyFont="1" applyFill="1" applyAlignment="1">
      <alignment horizontal="right"/>
    </xf>
    <xf numFmtId="0" fontId="33" fillId="6" borderId="0" xfId="198" applyFont="1" applyFill="1" applyAlignment="1">
      <alignment horizontal="right" vertical="center"/>
    </xf>
    <xf numFmtId="0" fontId="34" fillId="6" borderId="0" xfId="198" applyFont="1" applyFill="1" applyAlignment="1">
      <alignment horizontal="right" vertical="center"/>
    </xf>
    <xf numFmtId="0" fontId="35" fillId="6" borderId="0" xfId="198" applyFont="1" applyFill="1" applyAlignment="1">
      <alignment horizontal="right" vertical="center"/>
    </xf>
    <xf numFmtId="0" fontId="14" fillId="0" borderId="0" xfId="198" applyFont="1">
      <alignment vertical="center"/>
    </xf>
    <xf numFmtId="0" fontId="15" fillId="0" borderId="0" xfId="198" applyFont="1" applyAlignment="1">
      <alignment horizontal="center" vertical="center" wrapText="1"/>
    </xf>
    <xf numFmtId="0" fontId="30" fillId="0" borderId="0" xfId="198" applyFont="1" applyAlignment="1">
      <alignment horizontal="center" vertical="center"/>
    </xf>
    <xf numFmtId="0" fontId="15" fillId="0" borderId="0" xfId="198" applyFont="1" applyAlignment="1">
      <alignment horizontal="center" vertical="center"/>
    </xf>
    <xf numFmtId="0" fontId="13" fillId="6" borderId="0" xfId="198" applyFont="1" applyFill="1" applyAlignment="1">
      <alignment horizontal="left" vertical="center"/>
    </xf>
    <xf numFmtId="0" fontId="38" fillId="0" borderId="15" xfId="0" applyFont="1" applyBorder="1" applyAlignment="1">
      <alignment horizontal="center" vertical="center" wrapText="1"/>
    </xf>
    <xf numFmtId="0" fontId="38" fillId="0" borderId="18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38" fillId="0" borderId="10" xfId="0" quotePrefix="1" applyFont="1" applyBorder="1" applyAlignment="1">
      <alignment horizontal="left" vertical="top" wrapText="1"/>
    </xf>
    <xf numFmtId="0" fontId="38" fillId="0" borderId="19" xfId="0" applyFont="1" applyBorder="1" applyAlignment="1">
      <alignment horizontal="center" vertical="center" wrapText="1"/>
    </xf>
    <xf numFmtId="0" fontId="38" fillId="8" borderId="5" xfId="0" applyFont="1" applyFill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left" vertical="center" wrapText="1"/>
    </xf>
    <xf numFmtId="0" fontId="38" fillId="0" borderId="19" xfId="0" applyFont="1" applyBorder="1" applyAlignment="1">
      <alignment horizontal="left" vertical="top" wrapText="1"/>
    </xf>
    <xf numFmtId="0" fontId="38" fillId="0" borderId="22" xfId="0" applyFont="1" applyBorder="1" applyAlignment="1">
      <alignment vertical="center" wrapText="1"/>
    </xf>
    <xf numFmtId="0" fontId="38" fillId="0" borderId="10" xfId="0" applyFont="1" applyBorder="1" applyAlignment="1">
      <alignment horizontal="left" vertical="top" wrapText="1"/>
    </xf>
    <xf numFmtId="0" fontId="38" fillId="0" borderId="21" xfId="0" applyFont="1" applyBorder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/>
    </xf>
    <xf numFmtId="14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7" fillId="7" borderId="11" xfId="0" applyFont="1" applyFill="1" applyBorder="1" applyAlignment="1">
      <alignment horizontal="center" vertical="center" wrapText="1"/>
    </xf>
    <xf numFmtId="0" fontId="37" fillId="7" borderId="19" xfId="0" applyFont="1" applyFill="1" applyBorder="1" applyAlignment="1">
      <alignment horizontal="center" vertical="center" wrapText="1"/>
    </xf>
    <xf numFmtId="0" fontId="37" fillId="7" borderId="17" xfId="0" applyFont="1" applyFill="1" applyBorder="1" applyAlignment="1">
      <alignment horizontal="center" vertical="center" wrapText="1"/>
    </xf>
    <xf numFmtId="0" fontId="37" fillId="7" borderId="20" xfId="0" applyFont="1" applyFill="1" applyBorder="1" applyAlignment="1">
      <alignment horizontal="center" vertical="center" wrapText="1"/>
    </xf>
    <xf numFmtId="14" fontId="15" fillId="0" borderId="4" xfId="0" applyNumberFormat="1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right" wrapText="1"/>
    </xf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left" wrapText="1"/>
    </xf>
    <xf numFmtId="14" fontId="15" fillId="0" borderId="4" xfId="0" applyNumberFormat="1" applyFont="1" applyBorder="1" applyAlignment="1">
      <alignment horizontal="left" wrapText="1"/>
    </xf>
    <xf numFmtId="0" fontId="37" fillId="7" borderId="25" xfId="0" applyFont="1" applyFill="1" applyBorder="1" applyAlignment="1">
      <alignment horizontal="center" vertical="center" wrapText="1"/>
    </xf>
    <xf numFmtId="0" fontId="37" fillId="7" borderId="26" xfId="0" applyFont="1" applyFill="1" applyBorder="1" applyAlignment="1">
      <alignment horizontal="center" vertical="center" wrapText="1"/>
    </xf>
    <xf numFmtId="0" fontId="37" fillId="7" borderId="27" xfId="0" applyFont="1" applyFill="1" applyBorder="1" applyAlignment="1">
      <alignment horizontal="center" vertical="center" wrapText="1"/>
    </xf>
    <xf numFmtId="0" fontId="37" fillId="7" borderId="28" xfId="0" applyFont="1" applyFill="1" applyBorder="1" applyAlignment="1">
      <alignment horizontal="center" vertical="center" wrapText="1"/>
    </xf>
    <xf numFmtId="0" fontId="38" fillId="0" borderId="10" xfId="0" applyFont="1" applyBorder="1" applyAlignment="1">
      <alignment horizontal="left" vertical="center" wrapText="1"/>
    </xf>
    <xf numFmtId="0" fontId="38" fillId="0" borderId="10" xfId="0" applyFont="1" applyBorder="1" applyAlignment="1">
      <alignment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8" borderId="10" xfId="0" applyFont="1" applyFill="1" applyBorder="1" applyAlignment="1">
      <alignment horizontal="center" vertical="center" wrapText="1"/>
    </xf>
    <xf numFmtId="0" fontId="38" fillId="0" borderId="21" xfId="0" applyFont="1" applyBorder="1" applyAlignment="1">
      <alignment horizontal="left" vertical="center" wrapText="1"/>
    </xf>
    <xf numFmtId="0" fontId="36" fillId="0" borderId="10" xfId="202" applyFont="1" applyBorder="1" applyAlignment="1">
      <alignment vertical="center" wrapText="1"/>
    </xf>
    <xf numFmtId="0" fontId="36" fillId="0" borderId="10" xfId="202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1" fillId="0" borderId="10" xfId="0" quotePrefix="1" applyFont="1" applyBorder="1" applyAlignment="1">
      <alignment horizontal="left" vertical="top" wrapText="1"/>
    </xf>
    <xf numFmtId="0" fontId="40" fillId="0" borderId="10" xfId="202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36" fillId="8" borderId="10" xfId="20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left" vertical="center" wrapText="1"/>
    </xf>
    <xf numFmtId="0" fontId="36" fillId="0" borderId="10" xfId="192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42" fillId="0" borderId="21" xfId="0" applyFont="1" applyBorder="1" applyAlignment="1">
      <alignment horizontal="left" vertical="top" wrapText="1"/>
    </xf>
    <xf numFmtId="0" fontId="42" fillId="0" borderId="10" xfId="0" quotePrefix="1" applyFont="1" applyBorder="1" applyAlignment="1">
      <alignment horizontal="left" vertical="top" wrapText="1"/>
    </xf>
    <xf numFmtId="0" fontId="42" fillId="0" borderId="10" xfId="0" applyFont="1" applyBorder="1" applyAlignment="1">
      <alignment horizontal="left" vertical="top" wrapText="1"/>
    </xf>
    <xf numFmtId="0" fontId="42" fillId="0" borderId="18" xfId="0" applyFont="1" applyBorder="1" applyAlignment="1">
      <alignment vertical="center" wrapText="1"/>
    </xf>
    <xf numFmtId="0" fontId="13" fillId="6" borderId="0" xfId="198" applyFont="1" applyFill="1" applyAlignment="1">
      <alignment horizontal="center" vertical="center"/>
    </xf>
    <xf numFmtId="0" fontId="38" fillId="0" borderId="10" xfId="0" quotePrefix="1" applyFont="1" applyFill="1" applyBorder="1" applyAlignment="1">
      <alignment horizontal="left" vertical="top" wrapText="1"/>
    </xf>
    <xf numFmtId="0" fontId="38" fillId="0" borderId="10" xfId="0" applyFont="1" applyFill="1" applyBorder="1" applyAlignment="1">
      <alignment horizontal="left" vertical="top" wrapText="1"/>
    </xf>
    <xf numFmtId="0" fontId="40" fillId="0" borderId="10" xfId="192" applyFont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176" fontId="16" fillId="0" borderId="29" xfId="198" applyNumberFormat="1" applyFont="1" applyBorder="1" applyAlignment="1">
      <alignment horizontal="center" vertical="center" wrapText="1"/>
    </xf>
    <xf numFmtId="0" fontId="0" fillId="0" borderId="30" xfId="0" applyBorder="1"/>
    <xf numFmtId="0" fontId="14" fillId="0" borderId="31" xfId="198" applyFont="1" applyBorder="1" applyAlignment="1">
      <alignment horizontal="center" vertical="center" wrapText="1"/>
    </xf>
    <xf numFmtId="0" fontId="0" fillId="0" borderId="2" xfId="0" applyBorder="1"/>
    <xf numFmtId="0" fontId="0" fillId="0" borderId="32" xfId="0" applyBorder="1"/>
    <xf numFmtId="14" fontId="14" fillId="0" borderId="33" xfId="198" applyNumberFormat="1" applyFont="1" applyBorder="1" applyAlignment="1">
      <alignment horizontal="center" vertical="center"/>
    </xf>
    <xf numFmtId="0" fontId="0" fillId="0" borderId="16" xfId="0" applyBorder="1"/>
    <xf numFmtId="0" fontId="16" fillId="0" borderId="3" xfId="198" applyFont="1" applyBorder="1" applyAlignment="1">
      <alignment horizontal="center" vertical="center"/>
    </xf>
    <xf numFmtId="0" fontId="0" fillId="0" borderId="5" xfId="0" applyBorder="1"/>
    <xf numFmtId="0" fontId="14" fillId="0" borderId="3" xfId="198" applyFont="1" applyBorder="1" applyAlignment="1">
      <alignment horizontal="center" vertical="center"/>
    </xf>
    <xf numFmtId="0" fontId="13" fillId="0" borderId="0" xfId="198" applyFont="1" applyAlignment="1">
      <alignment horizontal="center" vertical="center"/>
    </xf>
    <xf numFmtId="0" fontId="1" fillId="0" borderId="0" xfId="198" applyFont="1">
      <alignment vertical="center"/>
    </xf>
    <xf numFmtId="14" fontId="16" fillId="0" borderId="33" xfId="198" applyNumberFormat="1" applyFont="1" applyBorder="1" applyAlignment="1">
      <alignment horizontal="center" vertical="center"/>
    </xf>
    <xf numFmtId="0" fontId="30" fillId="0" borderId="43" xfId="198" applyFont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0" fontId="16" fillId="0" borderId="31" xfId="198" applyFont="1" applyBorder="1" applyAlignment="1">
      <alignment horizontal="left" vertical="center" wrapText="1"/>
    </xf>
    <xf numFmtId="0" fontId="14" fillId="0" borderId="31" xfId="198" quotePrefix="1" applyFont="1" applyBorder="1" applyAlignment="1">
      <alignment horizontal="left" vertical="center" wrapText="1"/>
    </xf>
    <xf numFmtId="14" fontId="13" fillId="6" borderId="0" xfId="198" applyNumberFormat="1" applyFont="1" applyFill="1" applyAlignment="1">
      <alignment horizontal="center" vertical="center"/>
    </xf>
    <xf numFmtId="0" fontId="30" fillId="7" borderId="39" xfId="198" applyFont="1" applyFill="1" applyBorder="1" applyAlignment="1">
      <alignment horizontal="center" vertical="center"/>
    </xf>
    <xf numFmtId="0" fontId="0" fillId="0" borderId="14" xfId="0" applyBorder="1"/>
    <xf numFmtId="0" fontId="13" fillId="6" borderId="0" xfId="198" applyFont="1" applyFill="1" applyAlignment="1">
      <alignment horizontal="center" vertical="center"/>
    </xf>
    <xf numFmtId="0" fontId="30" fillId="7" borderId="37" xfId="198" applyFont="1" applyFill="1" applyBorder="1" applyAlignment="1">
      <alignment horizontal="center" vertical="center"/>
    </xf>
    <xf numFmtId="0" fontId="0" fillId="0" borderId="38" xfId="0" applyBorder="1"/>
    <xf numFmtId="0" fontId="0" fillId="0" borderId="13" xfId="0" applyBorder="1"/>
    <xf numFmtId="176" fontId="30" fillId="7" borderId="23" xfId="198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30" fillId="7" borderId="35" xfId="198" applyFont="1" applyFill="1" applyBorder="1" applyAlignment="1">
      <alignment horizontal="center" vertical="center"/>
    </xf>
    <xf numFmtId="0" fontId="0" fillId="0" borderId="36" xfId="0" applyBorder="1"/>
    <xf numFmtId="14" fontId="15" fillId="0" borderId="46" xfId="198" applyNumberFormat="1" applyFont="1" applyBorder="1" applyAlignment="1">
      <alignment horizontal="center" vertical="center"/>
    </xf>
    <xf numFmtId="0" fontId="0" fillId="0" borderId="12" xfId="0" applyBorder="1"/>
    <xf numFmtId="0" fontId="15" fillId="0" borderId="40" xfId="198" applyFont="1" applyBorder="1" applyAlignment="1">
      <alignment horizontal="center" vertical="center" wrapText="1"/>
    </xf>
    <xf numFmtId="0" fontId="0" fillId="0" borderId="41" xfId="0" applyBorder="1"/>
    <xf numFmtId="0" fontId="30" fillId="0" borderId="42" xfId="198" applyFont="1" applyBorder="1" applyAlignment="1">
      <alignment horizontal="center" vertical="center"/>
    </xf>
    <xf numFmtId="0" fontId="0" fillId="0" borderId="17" xfId="0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39" fillId="0" borderId="4" xfId="0" applyFont="1" applyBorder="1" applyAlignment="1">
      <alignment horizontal="left" wrapText="1"/>
    </xf>
    <xf numFmtId="0" fontId="0" fillId="0" borderId="4" xfId="0" applyBorder="1"/>
    <xf numFmtId="0" fontId="15" fillId="7" borderId="23" xfId="0" applyFont="1" applyFill="1" applyBorder="1" applyAlignment="1">
      <alignment horizontal="center" vertical="center" wrapText="1"/>
    </xf>
    <xf numFmtId="0" fontId="0" fillId="0" borderId="47" xfId="0" applyBorder="1"/>
    <xf numFmtId="0" fontId="15" fillId="7" borderId="24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48" xfId="0" applyBorder="1"/>
  </cellXfs>
  <cellStyles count="204">
    <cellStyle name="_x000a_386grabber=M" xfId="32" xr:uid="{00000000-0005-0000-0000-000020000000}"/>
    <cellStyle name="_x000a_386grabber=M 2" xfId="149" xr:uid="{00000000-0005-0000-0000-000095000000}"/>
    <cellStyle name="_0223_해운대구청(LH6000)" xfId="33" xr:uid="{00000000-0005-0000-0000-000021000000}"/>
    <cellStyle name="_Book1" xfId="34" xr:uid="{00000000-0005-0000-0000-000022000000}"/>
    <cellStyle name="_dimensions(1)" xfId="1" xr:uid="{00000000-0005-0000-0000-000001000000}"/>
    <cellStyle name="_WebCash_KDB_2thDevelop_20020618" xfId="35" xr:uid="{00000000-0005-0000-0000-000023000000}"/>
    <cellStyle name="_견적(RP5405)" xfId="36" xr:uid="{00000000-0005-0000-0000-000024000000}"/>
    <cellStyle name="_러시앤캐시 개발비용_20070320" xfId="37" xr:uid="{00000000-0005-0000-0000-000025000000}"/>
    <cellStyle name="_러시앤캐시(20070321)_1안" xfId="38" xr:uid="{00000000-0005-0000-0000-000026000000}"/>
    <cellStyle name="_부산은행 HP견적" xfId="39" xr:uid="{00000000-0005-0000-0000-000027000000}"/>
    <cellStyle name="_엑셀문서표준_양식(세로)" xfId="2" xr:uid="{00000000-0005-0000-0000-000002000000}"/>
    <cellStyle name="_요구사항추적매트릭스(CS)_보기" xfId="3" xr:uid="{00000000-0005-0000-0000-000003000000}"/>
    <cellStyle name="_요구사항추적표(웹)_양식" xfId="4" xr:uid="{00000000-0005-0000-0000-000004000000}"/>
    <cellStyle name="_통합테스트빌드목록" xfId="5" xr:uid="{00000000-0005-0000-0000-000005000000}"/>
    <cellStyle name="_하드웨어세부견적서_모음" xfId="40" xr:uid="{00000000-0005-0000-0000-000028000000}"/>
    <cellStyle name="_회의록관리대장_#.업무영역명" xfId="6" xr:uid="{00000000-0005-0000-0000-000006000000}"/>
    <cellStyle name="=C:\WINDOWS\SYSTEM32\COMMAND.COM" xfId="41" xr:uid="{00000000-0005-0000-0000-000029000000}"/>
    <cellStyle name="AeE­ [0]_PERSONAL" xfId="7" xr:uid="{00000000-0005-0000-0000-000007000000}"/>
    <cellStyle name="AeE­_PERSONAL" xfId="8" xr:uid="{00000000-0005-0000-0000-000008000000}"/>
    <cellStyle name="ALIGNMENT" xfId="9" xr:uid="{00000000-0005-0000-0000-000009000000}"/>
    <cellStyle name="C￥AØ_PERSONAL" xfId="10" xr:uid="{00000000-0005-0000-0000-00000A000000}"/>
    <cellStyle name="Calc Currency (0)" xfId="42" xr:uid="{00000000-0005-0000-0000-00002A000000}"/>
    <cellStyle name="Calc Currency (0) 2" xfId="150" xr:uid="{00000000-0005-0000-0000-000096000000}"/>
    <cellStyle name="Calc Currency (2)" xfId="43" xr:uid="{00000000-0005-0000-0000-00002B000000}"/>
    <cellStyle name="Calc Currency (2) 2" xfId="151" xr:uid="{00000000-0005-0000-0000-000097000000}"/>
    <cellStyle name="Calc Percent (0)" xfId="44" xr:uid="{00000000-0005-0000-0000-00002C000000}"/>
    <cellStyle name="Calc Percent (0) 2" xfId="152" xr:uid="{00000000-0005-0000-0000-000098000000}"/>
    <cellStyle name="Calc Percent (1)" xfId="45" xr:uid="{00000000-0005-0000-0000-00002D000000}"/>
    <cellStyle name="Calc Percent (1) 2" xfId="153" xr:uid="{00000000-0005-0000-0000-000099000000}"/>
    <cellStyle name="Calc Percent (2)" xfId="46" xr:uid="{00000000-0005-0000-0000-00002E000000}"/>
    <cellStyle name="Calc Percent (2) 2" xfId="154" xr:uid="{00000000-0005-0000-0000-00009A000000}"/>
    <cellStyle name="Calc Units (0)" xfId="47" xr:uid="{00000000-0005-0000-0000-00002F000000}"/>
    <cellStyle name="Calc Units (0) 2" xfId="155" xr:uid="{00000000-0005-0000-0000-00009B000000}"/>
    <cellStyle name="Calc Units (1)" xfId="48" xr:uid="{00000000-0005-0000-0000-000030000000}"/>
    <cellStyle name="Calc Units (1) 2" xfId="156" xr:uid="{00000000-0005-0000-0000-00009C000000}"/>
    <cellStyle name="Calc Units (2)" xfId="49" xr:uid="{00000000-0005-0000-0000-000031000000}"/>
    <cellStyle name="Calc Units (2) 2" xfId="157" xr:uid="{00000000-0005-0000-0000-00009D000000}"/>
    <cellStyle name="category" xfId="11" xr:uid="{00000000-0005-0000-0000-00000B000000}"/>
    <cellStyle name="Comma  - Style1" xfId="50" xr:uid="{00000000-0005-0000-0000-000032000000}"/>
    <cellStyle name="Comma  - Style2" xfId="51" xr:uid="{00000000-0005-0000-0000-000033000000}"/>
    <cellStyle name="Comma  - Style3" xfId="52" xr:uid="{00000000-0005-0000-0000-000034000000}"/>
    <cellStyle name="Comma  - Style4" xfId="53" xr:uid="{00000000-0005-0000-0000-000035000000}"/>
    <cellStyle name="Comma  - Style5" xfId="54" xr:uid="{00000000-0005-0000-0000-000036000000}"/>
    <cellStyle name="Comma  - Style6" xfId="55" xr:uid="{00000000-0005-0000-0000-000037000000}"/>
    <cellStyle name="Comma  - Style7" xfId="56" xr:uid="{00000000-0005-0000-0000-000038000000}"/>
    <cellStyle name="Comma  - Style8" xfId="57" xr:uid="{00000000-0005-0000-0000-000039000000}"/>
    <cellStyle name="Comma [0]_ SG&amp;A Bridge " xfId="58" xr:uid="{00000000-0005-0000-0000-00003A000000}"/>
    <cellStyle name="Comma [00]" xfId="59" xr:uid="{00000000-0005-0000-0000-00003B000000}"/>
    <cellStyle name="Comma [00] 2" xfId="158" xr:uid="{00000000-0005-0000-0000-00009E000000}"/>
    <cellStyle name="comma zerodec" xfId="12" xr:uid="{00000000-0005-0000-0000-00000C000000}"/>
    <cellStyle name="comma zerodec 2" xfId="13" xr:uid="{00000000-0005-0000-0000-00000D000000}"/>
    <cellStyle name="comma zerodec 2 2" xfId="142" xr:uid="{00000000-0005-0000-0000-00008E000000}"/>
    <cellStyle name="comma zerodec 3" xfId="60" xr:uid="{00000000-0005-0000-0000-00003C000000}"/>
    <cellStyle name="comma zerodec 3 2" xfId="159" xr:uid="{00000000-0005-0000-0000-00009F000000}"/>
    <cellStyle name="Comma_ SG&amp;A Bridge " xfId="61" xr:uid="{00000000-0005-0000-0000-00003D000000}"/>
    <cellStyle name="Currency [0]_ SG&amp;A Bridge " xfId="62" xr:uid="{00000000-0005-0000-0000-00003E000000}"/>
    <cellStyle name="Currency [00]" xfId="63" xr:uid="{00000000-0005-0000-0000-00003F000000}"/>
    <cellStyle name="Currency [00] 2" xfId="160" xr:uid="{00000000-0005-0000-0000-0000A0000000}"/>
    <cellStyle name="Currency_ SG&amp;A Bridge " xfId="64" xr:uid="{00000000-0005-0000-0000-000040000000}"/>
    <cellStyle name="Currency1" xfId="14" xr:uid="{00000000-0005-0000-0000-00000E000000}"/>
    <cellStyle name="Currency1 2" xfId="15" xr:uid="{00000000-0005-0000-0000-00000F000000}"/>
    <cellStyle name="Currency1 2 2" xfId="143" xr:uid="{00000000-0005-0000-0000-00008F000000}"/>
    <cellStyle name="Currency1 3" xfId="65" xr:uid="{00000000-0005-0000-0000-000041000000}"/>
    <cellStyle name="Currency1 3 2" xfId="161" xr:uid="{00000000-0005-0000-0000-0000A1000000}"/>
    <cellStyle name="Date Short" xfId="66" xr:uid="{00000000-0005-0000-0000-000042000000}"/>
    <cellStyle name="DELTA" xfId="67" xr:uid="{00000000-0005-0000-0000-000043000000}"/>
    <cellStyle name="Dollar (zero dec)" xfId="16" xr:uid="{00000000-0005-0000-0000-000010000000}"/>
    <cellStyle name="Dollar (zero dec) 2" xfId="17" xr:uid="{00000000-0005-0000-0000-000011000000}"/>
    <cellStyle name="Dollar (zero dec) 2 2" xfId="144" xr:uid="{00000000-0005-0000-0000-000090000000}"/>
    <cellStyle name="Dollar (zero dec) 3" xfId="68" xr:uid="{00000000-0005-0000-0000-000044000000}"/>
    <cellStyle name="Dollar (zero dec) 3 2" xfId="162" xr:uid="{00000000-0005-0000-0000-0000A2000000}"/>
    <cellStyle name="Enter Currency (0)" xfId="69" xr:uid="{00000000-0005-0000-0000-000045000000}"/>
    <cellStyle name="Enter Currency (0) 2" xfId="163" xr:uid="{00000000-0005-0000-0000-0000A3000000}"/>
    <cellStyle name="Enter Currency (2)" xfId="70" xr:uid="{00000000-0005-0000-0000-000046000000}"/>
    <cellStyle name="Enter Currency (2) 2" xfId="164" xr:uid="{00000000-0005-0000-0000-0000A4000000}"/>
    <cellStyle name="Enter Units (0)" xfId="71" xr:uid="{00000000-0005-0000-0000-000047000000}"/>
    <cellStyle name="Enter Units (0) 2" xfId="165" xr:uid="{00000000-0005-0000-0000-0000A5000000}"/>
    <cellStyle name="Enter Units (1)" xfId="72" xr:uid="{00000000-0005-0000-0000-000048000000}"/>
    <cellStyle name="Enter Units (1) 2" xfId="166" xr:uid="{00000000-0005-0000-0000-0000A6000000}"/>
    <cellStyle name="Enter Units (2)" xfId="73" xr:uid="{00000000-0005-0000-0000-000049000000}"/>
    <cellStyle name="Enter Units (2) 2" xfId="167" xr:uid="{00000000-0005-0000-0000-0000A7000000}"/>
    <cellStyle name="Grey" xfId="18" xr:uid="{00000000-0005-0000-0000-000012000000}"/>
    <cellStyle name="Grey 2" xfId="74" xr:uid="{00000000-0005-0000-0000-00004A000000}"/>
    <cellStyle name="HEADER" xfId="19" xr:uid="{00000000-0005-0000-0000-000013000000}"/>
    <cellStyle name="Header 1" xfId="75" xr:uid="{00000000-0005-0000-0000-00004B000000}"/>
    <cellStyle name="Header 2" xfId="76" xr:uid="{00000000-0005-0000-0000-00004C000000}"/>
    <cellStyle name="Header Center" xfId="77" xr:uid="{00000000-0005-0000-0000-00004D000000}"/>
    <cellStyle name="Header1" xfId="20" xr:uid="{00000000-0005-0000-0000-000014000000}"/>
    <cellStyle name="Header2" xfId="21" xr:uid="{00000000-0005-0000-0000-000015000000}"/>
    <cellStyle name="Header2 2" xfId="78" xr:uid="{00000000-0005-0000-0000-00004E000000}"/>
    <cellStyle name="HP Logo" xfId="79" xr:uid="{00000000-0005-0000-0000-00004F000000}"/>
    <cellStyle name="Hyperlink" xfId="80" xr:uid="{00000000-0005-0000-0000-000050000000}"/>
    <cellStyle name="Input [yellow]" xfId="22" xr:uid="{00000000-0005-0000-0000-000016000000}"/>
    <cellStyle name="Input [yellow] 2" xfId="81" xr:uid="{00000000-0005-0000-0000-000051000000}"/>
    <cellStyle name="Input [yellow] 2 2" xfId="168" xr:uid="{00000000-0005-0000-0000-0000A8000000}"/>
    <cellStyle name="Input [yellow] 3" xfId="137" xr:uid="{00000000-0005-0000-0000-000089000000}"/>
    <cellStyle name="Input [yellow] 4" xfId="145" xr:uid="{00000000-0005-0000-0000-000091000000}"/>
    <cellStyle name="Komma [0]_BINV" xfId="82" xr:uid="{00000000-0005-0000-0000-000052000000}"/>
    <cellStyle name="Komma_BINV" xfId="83" xr:uid="{00000000-0005-0000-0000-000053000000}"/>
    <cellStyle name="Link Currency (0)" xfId="84" xr:uid="{00000000-0005-0000-0000-000054000000}"/>
    <cellStyle name="Link Currency (0) 2" xfId="169" xr:uid="{00000000-0005-0000-0000-0000A9000000}"/>
    <cellStyle name="Link Currency (2)" xfId="85" xr:uid="{00000000-0005-0000-0000-000055000000}"/>
    <cellStyle name="Link Currency (2) 2" xfId="170" xr:uid="{00000000-0005-0000-0000-0000AA000000}"/>
    <cellStyle name="Link Units (0)" xfId="86" xr:uid="{00000000-0005-0000-0000-000056000000}"/>
    <cellStyle name="Link Units (0) 2" xfId="171" xr:uid="{00000000-0005-0000-0000-0000AB000000}"/>
    <cellStyle name="Link Units (1)" xfId="87" xr:uid="{00000000-0005-0000-0000-000057000000}"/>
    <cellStyle name="Link Units (1) 2" xfId="172" xr:uid="{00000000-0005-0000-0000-0000AC000000}"/>
    <cellStyle name="Link Units (2)" xfId="88" xr:uid="{00000000-0005-0000-0000-000058000000}"/>
    <cellStyle name="Link Units (2) 2" xfId="173" xr:uid="{00000000-0005-0000-0000-0000AD000000}"/>
    <cellStyle name="Model" xfId="23" xr:uid="{00000000-0005-0000-0000-000017000000}"/>
    <cellStyle name="Normal - Style1" xfId="24" xr:uid="{00000000-0005-0000-0000-000018000000}"/>
    <cellStyle name="Normal - Style1 2" xfId="25" xr:uid="{00000000-0005-0000-0000-000019000000}"/>
    <cellStyle name="Normal - Style1 2 2" xfId="146" xr:uid="{00000000-0005-0000-0000-000092000000}"/>
    <cellStyle name="Normal - Style1 3" xfId="89" xr:uid="{00000000-0005-0000-0000-000059000000}"/>
    <cellStyle name="Normal - Style1 3 2" xfId="174" xr:uid="{00000000-0005-0000-0000-0000AE000000}"/>
    <cellStyle name="Normal_ SG&amp;A Bridge " xfId="90" xr:uid="{00000000-0005-0000-0000-00005A000000}"/>
    <cellStyle name="Percent [0]" xfId="91" xr:uid="{00000000-0005-0000-0000-00005B000000}"/>
    <cellStyle name="Percent [0] 2" xfId="175" xr:uid="{00000000-0005-0000-0000-0000AF000000}"/>
    <cellStyle name="Percent [00]" xfId="92" xr:uid="{00000000-0005-0000-0000-00005C000000}"/>
    <cellStyle name="Percent [00] 2" xfId="176" xr:uid="{00000000-0005-0000-0000-0000B0000000}"/>
    <cellStyle name="Percent [2]" xfId="26" xr:uid="{00000000-0005-0000-0000-00001A000000}"/>
    <cellStyle name="Percent_#6 Temps &amp; Contractors" xfId="93" xr:uid="{00000000-0005-0000-0000-00005D000000}"/>
    <cellStyle name="PrePop Currency (0)" xfId="94" xr:uid="{00000000-0005-0000-0000-00005E000000}"/>
    <cellStyle name="PrePop Currency (0) 2" xfId="177" xr:uid="{00000000-0005-0000-0000-0000B1000000}"/>
    <cellStyle name="PrePop Currency (2)" xfId="95" xr:uid="{00000000-0005-0000-0000-00005F000000}"/>
    <cellStyle name="PrePop Currency (2) 2" xfId="178" xr:uid="{00000000-0005-0000-0000-0000B2000000}"/>
    <cellStyle name="PrePop Units (0)" xfId="96" xr:uid="{00000000-0005-0000-0000-000060000000}"/>
    <cellStyle name="PrePop Units (0) 2" xfId="179" xr:uid="{00000000-0005-0000-0000-0000B3000000}"/>
    <cellStyle name="PrePop Units (1)" xfId="97" xr:uid="{00000000-0005-0000-0000-000061000000}"/>
    <cellStyle name="PrePop Units (1) 2" xfId="180" xr:uid="{00000000-0005-0000-0000-0000B4000000}"/>
    <cellStyle name="PrePop Units (2)" xfId="98" xr:uid="{00000000-0005-0000-0000-000062000000}"/>
    <cellStyle name="PrePop Units (2) 2" xfId="181" xr:uid="{00000000-0005-0000-0000-0000B5000000}"/>
    <cellStyle name="Procent_BINV" xfId="99" xr:uid="{00000000-0005-0000-0000-000063000000}"/>
    <cellStyle name="PropertyBorder" xfId="100" xr:uid="{00000000-0005-0000-0000-000064000000}"/>
    <cellStyle name="PropertyBorder 2" xfId="182" xr:uid="{00000000-0005-0000-0000-0000B6000000}"/>
    <cellStyle name="Standaard_BINV" xfId="101" xr:uid="{00000000-0005-0000-0000-000065000000}"/>
    <cellStyle name="subhead" xfId="27" xr:uid="{00000000-0005-0000-0000-00001B000000}"/>
    <cellStyle name="Text Indent A" xfId="102" xr:uid="{00000000-0005-0000-0000-000066000000}"/>
    <cellStyle name="Text Indent B" xfId="103" xr:uid="{00000000-0005-0000-0000-000067000000}"/>
    <cellStyle name="Text Indent B 2" xfId="183" xr:uid="{00000000-0005-0000-0000-0000B7000000}"/>
    <cellStyle name="Text Indent C" xfId="104" xr:uid="{00000000-0005-0000-0000-000068000000}"/>
    <cellStyle name="Text Indent C 2" xfId="184" xr:uid="{00000000-0005-0000-0000-0000B8000000}"/>
    <cellStyle name="Valuta [0]_BINV" xfId="105" xr:uid="{00000000-0005-0000-0000-000069000000}"/>
    <cellStyle name="Valuta_BINV" xfId="106" xr:uid="{00000000-0005-0000-0000-00006A000000}"/>
    <cellStyle name="뒤에 오는 하이퍼링크_PERSONAL" xfId="107" xr:uid="{00000000-0005-0000-0000-00006B000000}"/>
    <cellStyle name="똿뗦먛귟 [0.00]_PRODUCT DETAIL Q1" xfId="108" xr:uid="{00000000-0005-0000-0000-00006C000000}"/>
    <cellStyle name="똿뗦먛귟_PRODUCT DETAIL Q1" xfId="109" xr:uid="{00000000-0005-0000-0000-00006D000000}"/>
    <cellStyle name="믅됞 [0.00]_PRODUCT DETAIL Q1" xfId="110" xr:uid="{00000000-0005-0000-0000-00006E000000}"/>
    <cellStyle name="믅됞_PRODUCT DETAIL Q1" xfId="111" xr:uid="{00000000-0005-0000-0000-00006F000000}"/>
    <cellStyle name="백분율 2" xfId="112" xr:uid="{00000000-0005-0000-0000-000070000000}"/>
    <cellStyle name="백분율 2 2" xfId="185" xr:uid="{00000000-0005-0000-0000-0000B9000000}"/>
    <cellStyle name="백분율 3" xfId="113" xr:uid="{00000000-0005-0000-0000-000071000000}"/>
    <cellStyle name="백분율 3 2" xfId="186" xr:uid="{00000000-0005-0000-0000-0000BA000000}"/>
    <cellStyle name="뷭?_BOOKSHIP" xfId="114" xr:uid="{00000000-0005-0000-0000-000072000000}"/>
    <cellStyle name="쉼표 [0] 2" xfId="115" xr:uid="{00000000-0005-0000-0000-000073000000}"/>
    <cellStyle name="쉼표 [0] 2 2" xfId="187" xr:uid="{00000000-0005-0000-0000-0000BB000000}"/>
    <cellStyle name="쉼표 [0] 3" xfId="116" xr:uid="{00000000-0005-0000-0000-000074000000}"/>
    <cellStyle name="쉼표 [0] 3 2" xfId="188" xr:uid="{00000000-0005-0000-0000-0000BC000000}"/>
    <cellStyle name="스타일 1" xfId="28" xr:uid="{00000000-0005-0000-0000-00001C000000}"/>
    <cellStyle name="스타일 1 2" xfId="117" xr:uid="{00000000-0005-0000-0000-000075000000}"/>
    <cellStyle name="안건회계법인" xfId="118" xr:uid="{00000000-0005-0000-0000-000076000000}"/>
    <cellStyle name="원" xfId="119" xr:uid="{00000000-0005-0000-0000-000077000000}"/>
    <cellStyle name="지정되지 않음" xfId="120" xr:uid="{00000000-0005-0000-0000-000078000000}"/>
    <cellStyle name="콤마 [0]_(980121-$33,662)" xfId="121" xr:uid="{00000000-0005-0000-0000-000079000000}"/>
    <cellStyle name="콤마_(980121-$33,662)" xfId="122" xr:uid="{00000000-0005-0000-0000-00007A000000}"/>
    <cellStyle name="通貨 [0.00]_PERSONAL" xfId="123" xr:uid="{00000000-0005-0000-0000-00007B000000}"/>
    <cellStyle name="통화 [0] 2" xfId="124" xr:uid="{00000000-0005-0000-0000-00007C000000}"/>
    <cellStyle name="통화 [0] 2 2" xfId="189" xr:uid="{00000000-0005-0000-0000-0000BD000000}"/>
    <cellStyle name="통화 [0] 3" xfId="125" xr:uid="{00000000-0005-0000-0000-00007D000000}"/>
    <cellStyle name="통화 [0] 3 2" xfId="190" xr:uid="{00000000-0005-0000-0000-0000BE000000}"/>
    <cellStyle name="通貨_PERSONAL" xfId="126" xr:uid="{00000000-0005-0000-0000-00007E000000}"/>
    <cellStyle name="표준" xfId="0" builtinId="0"/>
    <cellStyle name="표준 2" xfId="29" xr:uid="{00000000-0005-0000-0000-00001D000000}"/>
    <cellStyle name="표준 2 2" xfId="30" xr:uid="{00000000-0005-0000-0000-00001E000000}"/>
    <cellStyle name="표준 2 2 2" xfId="128" xr:uid="{00000000-0005-0000-0000-000080000000}"/>
    <cellStyle name="표준 2 2 2 2" xfId="192" xr:uid="{00000000-0005-0000-0000-0000C0000000}"/>
    <cellStyle name="표준 2 3" xfId="129" xr:uid="{00000000-0005-0000-0000-000081000000}"/>
    <cellStyle name="표준 2 4" xfId="127" xr:uid="{00000000-0005-0000-0000-00007F000000}"/>
    <cellStyle name="표준 2 4 2" xfId="191" xr:uid="{00000000-0005-0000-0000-0000BF000000}"/>
    <cellStyle name="표준 2 5" xfId="147" xr:uid="{00000000-0005-0000-0000-000093000000}"/>
    <cellStyle name="표준 3" xfId="130" xr:uid="{00000000-0005-0000-0000-000082000000}"/>
    <cellStyle name="표준 3 2" xfId="131" xr:uid="{00000000-0005-0000-0000-000083000000}"/>
    <cellStyle name="표준 3 2 2" xfId="194" xr:uid="{00000000-0005-0000-0000-0000C2000000}"/>
    <cellStyle name="표준 3 3" xfId="193" xr:uid="{00000000-0005-0000-0000-0000C1000000}"/>
    <cellStyle name="표준 4" xfId="132" xr:uid="{00000000-0005-0000-0000-000084000000}"/>
    <cellStyle name="표준 4 2" xfId="195" xr:uid="{00000000-0005-0000-0000-0000C3000000}"/>
    <cellStyle name="표준 5" xfId="31" xr:uid="{00000000-0005-0000-0000-00001F000000}"/>
    <cellStyle name="표준 5 2" xfId="148" xr:uid="{00000000-0005-0000-0000-000094000000}"/>
    <cellStyle name="표준 6" xfId="138" xr:uid="{00000000-0005-0000-0000-00008A000000}"/>
    <cellStyle name="표준 6 2" xfId="196" xr:uid="{00000000-0005-0000-0000-0000C4000000}"/>
    <cellStyle name="표준 7" xfId="139" xr:uid="{00000000-0005-0000-0000-00008B000000}"/>
    <cellStyle name="표준 7 2" xfId="141" xr:uid="{00000000-0005-0000-0000-00008D000000}"/>
    <cellStyle name="표준 7 3" xfId="140" xr:uid="{00000000-0005-0000-0000-00008C000000}"/>
    <cellStyle name="표준 7 4" xfId="197" xr:uid="{00000000-0005-0000-0000-0000C5000000}"/>
    <cellStyle name="표준 7 5" xfId="198" xr:uid="{00000000-0005-0000-0000-0000C6000000}"/>
    <cellStyle name="표준 7 5 2" xfId="199" xr:uid="{00000000-0005-0000-0000-0000C7000000}"/>
    <cellStyle name="표준 8" xfId="200" xr:uid="{00000000-0005-0000-0000-0000C8000000}"/>
    <cellStyle name="표준 9" xfId="203" xr:uid="{00000000-0005-0000-0000-0000CB000000}"/>
    <cellStyle name="표준_01.요구사항정의서_고객관리" xfId="201" xr:uid="{00000000-0005-0000-0000-0000C9000000}"/>
    <cellStyle name="標準_PERSONAL" xfId="133" xr:uid="{00000000-0005-0000-0000-000085000000}"/>
    <cellStyle name="표준_요구사항정의서_마켓플레이스" xfId="202" xr:uid="{00000000-0005-0000-0000-0000CA000000}"/>
    <cellStyle name="하이퍼링크 2" xfId="134" xr:uid="{00000000-0005-0000-0000-000086000000}"/>
    <cellStyle name="桁区切り [0.00]_PERSONAL" xfId="135" xr:uid="{00000000-0005-0000-0000-000087000000}"/>
    <cellStyle name="桁区切り_PERSONAL" xfId="136" xr:uid="{00000000-0005-0000-0000-000088000000}"/>
  </cellStyles>
  <dxfs count="74"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18" y="14573250"/>
          <a:ext cx="9877425" cy="666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7" name="그림 6" descr="바닥라인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18" y="7173446"/>
          <a:ext cx="9877425" cy="666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10</xdr:col>
      <xdr:colOff>409575</xdr:colOff>
      <xdr:row>15</xdr:row>
      <xdr:rowOff>447675</xdr:rowOff>
    </xdr:from>
    <xdr:to>
      <xdr:col>11</xdr:col>
      <xdr:colOff>645046</xdr:colOff>
      <xdr:row>15</xdr:row>
      <xdr:rowOff>665169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7296150"/>
          <a:ext cx="1026046" cy="2213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409575</xdr:colOff>
      <xdr:row>49</xdr:row>
      <xdr:rowOff>47625</xdr:rowOff>
    </xdr:from>
    <xdr:to>
      <xdr:col>11</xdr:col>
      <xdr:colOff>645046</xdr:colOff>
      <xdr:row>49</xdr:row>
      <xdr:rowOff>268929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14716125"/>
          <a:ext cx="1026046" cy="2213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showGridLines="0" view="pageBreakPreview" topLeftCell="A10" zoomScaleNormal="100" zoomScaleSheetLayoutView="100" workbookViewId="0">
      <selection activeCell="Q12" sqref="Q12"/>
    </sheetView>
  </sheetViews>
  <sheetFormatPr defaultColWidth="8.9140625" defaultRowHeight="17"/>
  <cols>
    <col min="1" max="1" width="8.08203125" style="1" customWidth="1"/>
    <col min="2" max="2" width="8.75" style="1" customWidth="1"/>
    <col min="3" max="3" width="7" style="1" customWidth="1"/>
    <col min="4" max="4" width="8" style="1" customWidth="1"/>
    <col min="5" max="5" width="18.75" style="1" customWidth="1"/>
    <col min="6" max="7" width="8.9140625" style="1" customWidth="1"/>
    <col min="8" max="8" width="11.33203125" style="1" bestFit="1" customWidth="1"/>
    <col min="9" max="9" width="13.9140625" style="1" customWidth="1"/>
    <col min="10" max="10" width="7.33203125" style="1" customWidth="1"/>
    <col min="11" max="11" width="9.08203125" style="1" customWidth="1"/>
    <col min="12" max="12" width="11.08203125" style="1" customWidth="1"/>
    <col min="13" max="13" width="8.9140625" style="1" customWidth="1"/>
    <col min="14" max="16384" width="8.9140625" style="1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7.649999999999999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 t="s">
        <v>0</v>
      </c>
    </row>
    <row r="4" spans="1:12" ht="56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5" t="s">
        <v>1</v>
      </c>
    </row>
    <row r="5" spans="1:12" ht="31.1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6"/>
    </row>
    <row r="6" spans="1:12" ht="17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0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34.9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7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0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0.65" customHeight="1">
      <c r="A13" s="12"/>
      <c r="B13" s="12"/>
      <c r="C13" s="12"/>
      <c r="D13" s="94" t="s">
        <v>2</v>
      </c>
      <c r="E13" s="87"/>
      <c r="F13" s="87"/>
      <c r="G13" s="87"/>
      <c r="H13" s="87"/>
      <c r="I13" s="87"/>
      <c r="J13" s="87"/>
      <c r="K13" s="87"/>
      <c r="L13" s="87"/>
    </row>
    <row r="14" spans="1:12" ht="10.5" customHeight="1">
      <c r="A14" s="9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</row>
    <row r="15" spans="1:12" ht="41.25" customHeight="1">
      <c r="A15" s="71"/>
      <c r="B15" s="71"/>
      <c r="C15" s="71"/>
      <c r="D15" s="97" t="s">
        <v>3</v>
      </c>
      <c r="E15" s="87"/>
      <c r="F15" s="87"/>
      <c r="G15" s="87"/>
      <c r="H15" s="87"/>
      <c r="I15" s="87"/>
      <c r="J15" s="87"/>
      <c r="K15" s="87"/>
      <c r="L15" s="87"/>
    </row>
    <row r="16" spans="1:12" ht="55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7.25" customHeight="1">
      <c r="A19" s="86" t="s">
        <v>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12" ht="17.25" customHeight="1" thickBo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30" customHeight="1">
      <c r="A21" s="101" t="s">
        <v>5</v>
      </c>
      <c r="B21" s="102"/>
      <c r="C21" s="103" t="s">
        <v>6</v>
      </c>
      <c r="D21" s="104"/>
      <c r="E21" s="98" t="s">
        <v>7</v>
      </c>
      <c r="F21" s="99"/>
      <c r="G21" s="99"/>
      <c r="H21" s="99"/>
      <c r="I21" s="99"/>
      <c r="J21" s="100"/>
      <c r="K21" s="95" t="s">
        <v>8</v>
      </c>
      <c r="L21" s="96"/>
    </row>
    <row r="22" spans="1:12">
      <c r="A22" s="76">
        <v>1</v>
      </c>
      <c r="B22" s="77"/>
      <c r="C22" s="83" t="s">
        <v>9</v>
      </c>
      <c r="D22" s="84"/>
      <c r="E22" s="92" t="s">
        <v>10</v>
      </c>
      <c r="F22" s="79"/>
      <c r="G22" s="79"/>
      <c r="H22" s="79"/>
      <c r="I22" s="79"/>
      <c r="J22" s="80"/>
      <c r="K22" s="88">
        <v>46093</v>
      </c>
      <c r="L22" s="82"/>
    </row>
    <row r="23" spans="1:12">
      <c r="A23" s="76"/>
      <c r="B23" s="77"/>
      <c r="C23" s="83"/>
      <c r="D23" s="84"/>
      <c r="E23" s="92"/>
      <c r="F23" s="79"/>
      <c r="G23" s="79"/>
      <c r="H23" s="79"/>
      <c r="I23" s="79"/>
      <c r="J23" s="80"/>
      <c r="K23" s="88"/>
      <c r="L23" s="82"/>
    </row>
    <row r="24" spans="1:12">
      <c r="A24" s="76"/>
      <c r="B24" s="77"/>
      <c r="C24" s="83"/>
      <c r="D24" s="84"/>
      <c r="E24" s="92"/>
      <c r="F24" s="79"/>
      <c r="G24" s="79"/>
      <c r="H24" s="79"/>
      <c r="I24" s="79"/>
      <c r="J24" s="80"/>
      <c r="K24" s="88"/>
      <c r="L24" s="82"/>
    </row>
    <row r="25" spans="1:12">
      <c r="A25" s="76"/>
      <c r="B25" s="77"/>
      <c r="C25" s="85"/>
      <c r="D25" s="84"/>
      <c r="E25" s="93"/>
      <c r="F25" s="79"/>
      <c r="G25" s="79"/>
      <c r="H25" s="79"/>
      <c r="I25" s="79"/>
      <c r="J25" s="80"/>
      <c r="K25" s="81"/>
      <c r="L25" s="82"/>
    </row>
    <row r="26" spans="1:12">
      <c r="A26" s="76"/>
      <c r="B26" s="77"/>
      <c r="C26" s="85"/>
      <c r="D26" s="84"/>
      <c r="E26" s="78"/>
      <c r="F26" s="79"/>
      <c r="G26" s="79"/>
      <c r="H26" s="79"/>
      <c r="I26" s="79"/>
      <c r="J26" s="80"/>
      <c r="K26" s="81"/>
      <c r="L26" s="82"/>
    </row>
    <row r="27" spans="1:12" ht="17.25" customHeight="1">
      <c r="A27" s="76"/>
      <c r="B27" s="77"/>
      <c r="C27" s="85"/>
      <c r="D27" s="84"/>
      <c r="E27" s="78"/>
      <c r="F27" s="79"/>
      <c r="G27" s="79"/>
      <c r="H27" s="79"/>
      <c r="I27" s="79"/>
      <c r="J27" s="80"/>
      <c r="K27" s="81"/>
      <c r="L27" s="82"/>
    </row>
    <row r="28" spans="1:12">
      <c r="A28" s="76"/>
      <c r="B28" s="77"/>
      <c r="C28" s="85"/>
      <c r="D28" s="84"/>
      <c r="E28" s="78"/>
      <c r="F28" s="79"/>
      <c r="G28" s="79"/>
      <c r="H28" s="79"/>
      <c r="I28" s="79"/>
      <c r="J28" s="80"/>
      <c r="K28" s="81"/>
      <c r="L28" s="82"/>
    </row>
    <row r="29" spans="1:12">
      <c r="A29" s="76"/>
      <c r="B29" s="77"/>
      <c r="C29" s="85"/>
      <c r="D29" s="84"/>
      <c r="E29" s="78"/>
      <c r="F29" s="79"/>
      <c r="G29" s="79"/>
      <c r="H29" s="79"/>
      <c r="I29" s="79"/>
      <c r="J29" s="80"/>
      <c r="K29" s="81"/>
      <c r="L29" s="82"/>
    </row>
    <row r="30" spans="1:12">
      <c r="A30" s="76"/>
      <c r="B30" s="77"/>
      <c r="C30" s="85"/>
      <c r="D30" s="84"/>
      <c r="E30" s="78"/>
      <c r="F30" s="79"/>
      <c r="G30" s="79"/>
      <c r="H30" s="79"/>
      <c r="I30" s="79"/>
      <c r="J30" s="80"/>
      <c r="K30" s="81"/>
      <c r="L30" s="82"/>
    </row>
    <row r="31" spans="1:12">
      <c r="A31" s="76"/>
      <c r="B31" s="77"/>
      <c r="C31" s="85"/>
      <c r="D31" s="84"/>
      <c r="E31" s="78"/>
      <c r="F31" s="79"/>
      <c r="G31" s="79"/>
      <c r="H31" s="79"/>
      <c r="I31" s="79"/>
      <c r="J31" s="80"/>
      <c r="K31" s="81"/>
      <c r="L31" s="82"/>
    </row>
    <row r="32" spans="1:12">
      <c r="A32" s="76"/>
      <c r="B32" s="77"/>
      <c r="C32" s="85"/>
      <c r="D32" s="84"/>
      <c r="E32" s="78"/>
      <c r="F32" s="79"/>
      <c r="G32" s="79"/>
      <c r="H32" s="79"/>
      <c r="I32" s="79"/>
      <c r="J32" s="80"/>
      <c r="K32" s="81"/>
      <c r="L32" s="82"/>
    </row>
    <row r="33" spans="1:12">
      <c r="A33" s="76"/>
      <c r="B33" s="77"/>
      <c r="C33" s="85"/>
      <c r="D33" s="84"/>
      <c r="E33" s="78"/>
      <c r="F33" s="79"/>
      <c r="G33" s="79"/>
      <c r="H33" s="79"/>
      <c r="I33" s="79"/>
      <c r="J33" s="80"/>
      <c r="K33" s="81"/>
      <c r="L33" s="82"/>
    </row>
    <row r="34" spans="1:12">
      <c r="A34" s="76"/>
      <c r="B34" s="77"/>
      <c r="C34" s="85"/>
      <c r="D34" s="84"/>
      <c r="E34" s="78"/>
      <c r="F34" s="79"/>
      <c r="G34" s="79"/>
      <c r="H34" s="79"/>
      <c r="I34" s="79"/>
      <c r="J34" s="80"/>
      <c r="K34" s="81"/>
      <c r="L34" s="82"/>
    </row>
    <row r="35" spans="1:12">
      <c r="A35" s="76"/>
      <c r="B35" s="77"/>
      <c r="C35" s="85"/>
      <c r="D35" s="84"/>
      <c r="E35" s="78"/>
      <c r="F35" s="79"/>
      <c r="G35" s="79"/>
      <c r="H35" s="79"/>
      <c r="I35" s="79"/>
      <c r="J35" s="80"/>
      <c r="K35" s="81"/>
      <c r="L35" s="82"/>
    </row>
    <row r="36" spans="1:12">
      <c r="A36" s="76"/>
      <c r="B36" s="77"/>
      <c r="C36" s="85"/>
      <c r="D36" s="84"/>
      <c r="E36" s="78"/>
      <c r="F36" s="79"/>
      <c r="G36" s="79"/>
      <c r="H36" s="79"/>
      <c r="I36" s="79"/>
      <c r="J36" s="80"/>
      <c r="K36" s="81"/>
      <c r="L36" s="82"/>
    </row>
    <row r="37" spans="1:12">
      <c r="A37" s="76"/>
      <c r="B37" s="77"/>
      <c r="C37" s="85"/>
      <c r="D37" s="84"/>
      <c r="E37" s="78"/>
      <c r="F37" s="79"/>
      <c r="G37" s="79"/>
      <c r="H37" s="79"/>
      <c r="I37" s="79"/>
      <c r="J37" s="80"/>
      <c r="K37" s="81"/>
      <c r="L37" s="82"/>
    </row>
    <row r="38" spans="1:12">
      <c r="A38" s="76"/>
      <c r="B38" s="77"/>
      <c r="C38" s="85"/>
      <c r="D38" s="84"/>
      <c r="E38" s="78"/>
      <c r="F38" s="79"/>
      <c r="G38" s="79"/>
      <c r="H38" s="79"/>
      <c r="I38" s="79"/>
      <c r="J38" s="80"/>
      <c r="K38" s="81"/>
      <c r="L38" s="82"/>
    </row>
    <row r="39" spans="1:12">
      <c r="A39" s="76"/>
      <c r="B39" s="77"/>
      <c r="C39" s="85"/>
      <c r="D39" s="84"/>
      <c r="E39" s="78"/>
      <c r="F39" s="79"/>
      <c r="G39" s="79"/>
      <c r="H39" s="79"/>
      <c r="I39" s="79"/>
      <c r="J39" s="80"/>
      <c r="K39" s="81"/>
      <c r="L39" s="82"/>
    </row>
    <row r="40" spans="1:12">
      <c r="A40" s="76"/>
      <c r="B40" s="77"/>
      <c r="C40" s="85"/>
      <c r="D40" s="84"/>
      <c r="E40" s="78"/>
      <c r="F40" s="79"/>
      <c r="G40" s="79"/>
      <c r="H40" s="79"/>
      <c r="I40" s="79"/>
      <c r="J40" s="80"/>
      <c r="K40" s="81"/>
      <c r="L40" s="82"/>
    </row>
    <row r="41" spans="1:12" ht="17.25" customHeight="1" thickBot="1">
      <c r="A41" s="107"/>
      <c r="B41" s="108"/>
      <c r="C41" s="109"/>
      <c r="D41" s="110"/>
      <c r="E41" s="89"/>
      <c r="F41" s="90"/>
      <c r="G41" s="90"/>
      <c r="H41" s="90"/>
      <c r="I41" s="90"/>
      <c r="J41" s="91"/>
      <c r="K41" s="105"/>
      <c r="L41" s="106"/>
    </row>
    <row r="42" spans="1:12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1"/>
      <c r="L42" s="11"/>
    </row>
    <row r="43" spans="1:12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1"/>
      <c r="L43" s="11"/>
    </row>
    <row r="44" spans="1:12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1"/>
      <c r="L44" s="11"/>
    </row>
    <row r="45" spans="1:12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1"/>
      <c r="L45" s="11"/>
    </row>
    <row r="46" spans="1:12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1"/>
      <c r="L46" s="11"/>
    </row>
    <row r="47" spans="1:12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1"/>
      <c r="L47" s="11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50" ht="25.5" customHeight="1"/>
  </sheetData>
  <mergeCells count="88">
    <mergeCell ref="C21:D21"/>
    <mergeCell ref="K23:L23"/>
    <mergeCell ref="A23:B23"/>
    <mergeCell ref="C23:D23"/>
    <mergeCell ref="K41:L41"/>
    <mergeCell ref="C40:D40"/>
    <mergeCell ref="E37:J37"/>
    <mergeCell ref="E38:J38"/>
    <mergeCell ref="A41:B41"/>
    <mergeCell ref="C41:D41"/>
    <mergeCell ref="C36:D36"/>
    <mergeCell ref="A39:B39"/>
    <mergeCell ref="E36:J36"/>
    <mergeCell ref="A37:B37"/>
    <mergeCell ref="A22:B22"/>
    <mergeCell ref="A35:B35"/>
    <mergeCell ref="D13:L13"/>
    <mergeCell ref="E28:J28"/>
    <mergeCell ref="K24:L24"/>
    <mergeCell ref="K33:L33"/>
    <mergeCell ref="E30:J30"/>
    <mergeCell ref="K26:L26"/>
    <mergeCell ref="K21:L21"/>
    <mergeCell ref="A14:L14"/>
    <mergeCell ref="D15:L15"/>
    <mergeCell ref="E21:J21"/>
    <mergeCell ref="C22:D22"/>
    <mergeCell ref="A21:B21"/>
    <mergeCell ref="A27:B27"/>
    <mergeCell ref="E32:J32"/>
    <mergeCell ref="A33:B33"/>
    <mergeCell ref="C27:D27"/>
    <mergeCell ref="E22:J22"/>
    <mergeCell ref="K27:L27"/>
    <mergeCell ref="E23:J23"/>
    <mergeCell ref="A34:B34"/>
    <mergeCell ref="A25:B25"/>
    <mergeCell ref="C25:D25"/>
    <mergeCell ref="E26:J26"/>
    <mergeCell ref="K25:L25"/>
    <mergeCell ref="E25:J25"/>
    <mergeCell ref="C33:D33"/>
    <mergeCell ref="E31:J31"/>
    <mergeCell ref="E24:J24"/>
    <mergeCell ref="A28:B28"/>
    <mergeCell ref="K28:L28"/>
    <mergeCell ref="C28:D28"/>
    <mergeCell ref="A30:B30"/>
    <mergeCell ref="E41:J41"/>
    <mergeCell ref="E40:J40"/>
    <mergeCell ref="A36:B36"/>
    <mergeCell ref="K29:L29"/>
    <mergeCell ref="C29:D29"/>
    <mergeCell ref="K31:L31"/>
    <mergeCell ref="C31:D31"/>
    <mergeCell ref="K40:L40"/>
    <mergeCell ref="A32:B32"/>
    <mergeCell ref="A38:B38"/>
    <mergeCell ref="C32:D32"/>
    <mergeCell ref="C38:D38"/>
    <mergeCell ref="E39:J39"/>
    <mergeCell ref="K35:L35"/>
    <mergeCell ref="K37:L37"/>
    <mergeCell ref="C34:D34"/>
    <mergeCell ref="A19:L19"/>
    <mergeCell ref="K39:L39"/>
    <mergeCell ref="C39:D39"/>
    <mergeCell ref="E33:J33"/>
    <mergeCell ref="A29:B29"/>
    <mergeCell ref="K38:L38"/>
    <mergeCell ref="C37:D37"/>
    <mergeCell ref="E35:J35"/>
    <mergeCell ref="A31:B31"/>
    <mergeCell ref="K36:L36"/>
    <mergeCell ref="C26:D26"/>
    <mergeCell ref="C35:D35"/>
    <mergeCell ref="K22:L22"/>
    <mergeCell ref="E27:J27"/>
    <mergeCell ref="E34:J34"/>
    <mergeCell ref="K32:L32"/>
    <mergeCell ref="A40:B40"/>
    <mergeCell ref="E29:J29"/>
    <mergeCell ref="A24:B24"/>
    <mergeCell ref="K34:L34"/>
    <mergeCell ref="C24:D24"/>
    <mergeCell ref="A26:B26"/>
    <mergeCell ref="K30:L30"/>
    <mergeCell ref="C30:D30"/>
  </mergeCells>
  <phoneticPr fontId="10" type="noConversion"/>
  <pageMargins left="0.70866141732283472" right="0.78740157480314965" top="0.35433070866141742" bottom="0.15748031496062989" header="0" footer="0"/>
  <pageSetup paperSize="9" scale="93" fitToHeight="0" orientation="landscape" r:id="rId1"/>
  <rowBreaks count="1" manualBreakCount="1">
    <brk id="16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B218-95F5-4453-BB95-4BC8A3F9E36C}">
  <sheetPr>
    <pageSetUpPr fitToPage="1"/>
  </sheetPr>
  <dimension ref="A1:N9"/>
  <sheetViews>
    <sheetView showGridLines="0" zoomScaleNormal="10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L6" sqref="L6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1.08203125" style="19" customWidth="1"/>
    <col min="4" max="4" width="12.75" style="17" customWidth="1"/>
    <col min="5" max="5" width="27.9140625" style="17" customWidth="1"/>
    <col min="6" max="6" width="13.25" style="17" bestFit="1" customWidth="1"/>
    <col min="7" max="7" width="28.25" style="18" customWidth="1"/>
    <col min="8" max="8" width="19.75" style="18" customWidth="1"/>
    <col min="9" max="9" width="5.75" style="19" customWidth="1"/>
    <col min="10" max="10" width="4.4140625" style="19" bestFit="1" customWidth="1"/>
    <col min="11" max="11" width="13.4140625" style="17" bestFit="1" customWidth="1"/>
    <col min="12" max="12" width="10.6640625" style="17" customWidth="1"/>
    <col min="13" max="13" width="9.66406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협업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 thickBo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17" t="str">
        <f ca="1">RIGHT(CELL("filename",A1),LEN(CELL("filename",A1))-FIND("]",CELL("filename",A1))) &amp; " 요구사항 정의"</f>
        <v>협업 요구사항 정의</v>
      </c>
      <c r="B4" s="118"/>
      <c r="C4" s="118"/>
      <c r="D4" s="118"/>
      <c r="E4" s="118"/>
      <c r="F4" s="118"/>
      <c r="G4" s="118"/>
      <c r="H4" s="102"/>
      <c r="I4" s="119" t="s">
        <v>13</v>
      </c>
      <c r="J4" s="118"/>
      <c r="K4" s="118"/>
      <c r="L4" s="118"/>
      <c r="M4" s="118"/>
      <c r="N4" s="102"/>
    </row>
    <row r="5" spans="1:14" s="16" customFormat="1" ht="26.25" customHeight="1">
      <c r="A5" s="45" t="s">
        <v>14</v>
      </c>
      <c r="B5" s="46" t="s">
        <v>15</v>
      </c>
      <c r="C5" s="47" t="s">
        <v>16</v>
      </c>
      <c r="D5" s="46" t="s">
        <v>17</v>
      </c>
      <c r="E5" s="46" t="s">
        <v>18</v>
      </c>
      <c r="F5" s="46" t="s">
        <v>19</v>
      </c>
      <c r="G5" s="46" t="s">
        <v>20</v>
      </c>
      <c r="H5" s="46" t="s">
        <v>21</v>
      </c>
      <c r="I5" s="46" t="s">
        <v>22</v>
      </c>
      <c r="J5" s="46" t="s">
        <v>23</v>
      </c>
      <c r="K5" s="46" t="s">
        <v>24</v>
      </c>
      <c r="L5" s="46" t="s">
        <v>25</v>
      </c>
      <c r="M5" s="46" t="s">
        <v>26</v>
      </c>
      <c r="N5" s="48" t="s">
        <v>27</v>
      </c>
    </row>
    <row r="6" spans="1:14" ht="39.4" customHeight="1">
      <c r="A6" s="51">
        <f>ROW($A6)-5</f>
        <v>1</v>
      </c>
      <c r="B6" s="55" t="s">
        <v>92</v>
      </c>
      <c r="C6" s="55" t="s">
        <v>86</v>
      </c>
      <c r="D6" s="60" t="s">
        <v>28</v>
      </c>
      <c r="E6" s="54" t="s">
        <v>29</v>
      </c>
      <c r="F6" s="61"/>
      <c r="G6" s="62"/>
      <c r="H6" s="58" t="s">
        <v>93</v>
      </c>
      <c r="I6" s="51" t="s">
        <v>30</v>
      </c>
      <c r="J6" s="63" t="s">
        <v>31</v>
      </c>
      <c r="K6" s="63" t="s">
        <v>32</v>
      </c>
      <c r="L6" s="61"/>
      <c r="M6" s="59"/>
      <c r="N6" s="61"/>
    </row>
    <row r="7" spans="1:14" ht="66.650000000000006" customHeight="1">
      <c r="A7" s="51">
        <f>ROW($A7)-5</f>
        <v>2</v>
      </c>
      <c r="B7" s="55" t="s">
        <v>92</v>
      </c>
      <c r="C7" s="55" t="s">
        <v>87</v>
      </c>
      <c r="D7" s="63" t="s">
        <v>33</v>
      </c>
      <c r="E7" s="54" t="s">
        <v>34</v>
      </c>
      <c r="F7" s="61"/>
      <c r="G7" s="62" t="s">
        <v>35</v>
      </c>
      <c r="H7" s="54" t="s">
        <v>94</v>
      </c>
      <c r="I7" s="64" t="s">
        <v>30</v>
      </c>
      <c r="J7" s="63" t="s">
        <v>31</v>
      </c>
      <c r="K7" s="63" t="s">
        <v>36</v>
      </c>
      <c r="L7" s="61"/>
      <c r="M7" s="59"/>
      <c r="N7" s="61"/>
    </row>
    <row r="8" spans="1:14" ht="54" customHeight="1">
      <c r="A8" s="51">
        <f>ROW($A8)-5</f>
        <v>3</v>
      </c>
      <c r="B8" s="55" t="s">
        <v>92</v>
      </c>
      <c r="C8" s="55" t="s">
        <v>90</v>
      </c>
      <c r="D8" s="60" t="s">
        <v>37</v>
      </c>
      <c r="E8" s="54" t="s">
        <v>38</v>
      </c>
      <c r="F8" s="61"/>
      <c r="G8" s="62"/>
      <c r="H8" s="54" t="s">
        <v>95</v>
      </c>
      <c r="I8" s="51" t="s">
        <v>30</v>
      </c>
      <c r="J8" s="63" t="s">
        <v>31</v>
      </c>
      <c r="K8" s="63" t="s">
        <v>39</v>
      </c>
      <c r="L8" s="61"/>
      <c r="M8" s="59"/>
      <c r="N8" s="61"/>
    </row>
    <row r="9" spans="1:14" ht="46.5" customHeight="1">
      <c r="A9" s="51">
        <f>ROW($A9)-5</f>
        <v>4</v>
      </c>
      <c r="B9" s="55" t="s">
        <v>92</v>
      </c>
      <c r="C9" s="55" t="s">
        <v>91</v>
      </c>
      <c r="D9" s="60" t="s">
        <v>40</v>
      </c>
      <c r="E9" s="54" t="s">
        <v>41</v>
      </c>
      <c r="F9" s="61"/>
      <c r="G9" s="62"/>
      <c r="H9" s="54" t="s">
        <v>96</v>
      </c>
      <c r="I9" s="51" t="s">
        <v>30</v>
      </c>
      <c r="J9" s="63" t="s">
        <v>31</v>
      </c>
      <c r="K9" s="63" t="s">
        <v>42</v>
      </c>
      <c r="L9" s="61"/>
      <c r="M9" s="59"/>
      <c r="N9" s="61"/>
    </row>
  </sheetData>
  <mergeCells count="4">
    <mergeCell ref="A1:N1"/>
    <mergeCell ref="A2:F2"/>
    <mergeCell ref="A4:H4"/>
    <mergeCell ref="I4:N4"/>
  </mergeCells>
  <phoneticPr fontId="10" type="noConversion"/>
  <conditionalFormatting sqref="A6:A7 F6:G7 L6:N7">
    <cfRule type="expression" dxfId="73" priority="28">
      <formula>IF(OR(#REF!="부분수용",#REF!= "불가"), TRUE, FALSE)</formula>
    </cfRule>
    <cfRule type="expression" dxfId="72" priority="27">
      <formula>IF(#REF!="제외", TRUE, FALSE)</formula>
    </cfRule>
  </conditionalFormatting>
  <conditionalFormatting sqref="A8:A9 F8:G9 I8:I9 L8:N9">
    <cfRule type="expression" dxfId="71" priority="50">
      <formula>IF(OR($J8="부분수용", $J8="불가"), TRUE, FALSE)</formula>
    </cfRule>
    <cfRule type="expression" dxfId="70" priority="49">
      <formula>IF($J8="제외", TRUE, FALSE)</formula>
    </cfRule>
  </conditionalFormatting>
  <conditionalFormatting sqref="B6:B9">
    <cfRule type="expression" dxfId="69" priority="23">
      <formula>#REF!="부분수용"</formula>
    </cfRule>
    <cfRule type="expression" dxfId="68" priority="24">
      <formula>#REF!="수용"</formula>
    </cfRule>
    <cfRule type="expression" dxfId="67" priority="19">
      <formula>#REF!="중복"</formula>
    </cfRule>
    <cfRule type="expression" dxfId="66" priority="20">
      <formula>#REF!="확인중"</formula>
    </cfRule>
    <cfRule type="expression" dxfId="65" priority="21">
      <formula>#REF!="제외"</formula>
    </cfRule>
    <cfRule type="expression" dxfId="64" priority="22">
      <formula>#REF!="불가"</formula>
    </cfRule>
  </conditionalFormatting>
  <conditionalFormatting sqref="C6:C9">
    <cfRule type="expression" dxfId="63" priority="2">
      <formula>$N6="확인중"</formula>
    </cfRule>
    <cfRule type="expression" dxfId="62" priority="3">
      <formula>$N6="제외"</formula>
    </cfRule>
    <cfRule type="expression" dxfId="61" priority="4">
      <formula>$N6="불가"</formula>
    </cfRule>
    <cfRule type="expression" dxfId="60" priority="5">
      <formula>$N6="부분수용"</formula>
    </cfRule>
    <cfRule type="expression" dxfId="59" priority="6">
      <formula>$N6="수용"</formula>
    </cfRule>
    <cfRule type="expression" dxfId="58" priority="1">
      <formula>$N6="중복"</formula>
    </cfRule>
  </conditionalFormatting>
  <conditionalFormatting sqref="E6:E7">
    <cfRule type="expression" dxfId="57" priority="13">
      <formula>#REF!="중복"</formula>
    </cfRule>
    <cfRule type="expression" dxfId="56" priority="14">
      <formula>#REF!="확인중"</formula>
    </cfRule>
    <cfRule type="expression" dxfId="55" priority="15">
      <formula>#REF!="제외"</formula>
    </cfRule>
    <cfRule type="expression" dxfId="54" priority="18">
      <formula>#REF!="수용"</formula>
    </cfRule>
    <cfRule type="expression" dxfId="53" priority="17">
      <formula>#REF!="부분수용"</formula>
    </cfRule>
    <cfRule type="expression" dxfId="52" priority="16">
      <formula>#REF!="불가"</formula>
    </cfRule>
  </conditionalFormatting>
  <conditionalFormatting sqref="E8:E9 J8:K9">
    <cfRule type="expression" dxfId="51" priority="41">
      <formula>$N8="중복"</formula>
    </cfRule>
    <cfRule type="expression" dxfId="50" priority="42">
      <formula>$N8="확인중"</formula>
    </cfRule>
    <cfRule type="expression" dxfId="49" priority="43">
      <formula>$N8="제외"</formula>
    </cfRule>
    <cfRule type="expression" dxfId="48" priority="44">
      <formula>$N8="불가"</formula>
    </cfRule>
    <cfRule type="expression" dxfId="47" priority="45">
      <formula>$N8="부분수용"</formula>
    </cfRule>
    <cfRule type="expression" dxfId="46" priority="46">
      <formula>$N8="수용"</formula>
    </cfRule>
  </conditionalFormatting>
  <conditionalFormatting sqref="I6:I7">
    <cfRule type="expression" dxfId="45" priority="25">
      <formula>IF(#REF!="제외", TRUE, FALSE)</formula>
    </cfRule>
    <cfRule type="expression" dxfId="44" priority="26">
      <formula>IF(OR(#REF!="부분수용",#REF!= "불가"), TRUE, FALSE)</formula>
    </cfRule>
  </conditionalFormatting>
  <conditionalFormatting sqref="J6:K7">
    <cfRule type="expression" dxfId="43" priority="7">
      <formula>#REF!="중복"</formula>
    </cfRule>
    <cfRule type="expression" dxfId="42" priority="8">
      <formula>#REF!="확인중"</formula>
    </cfRule>
    <cfRule type="expression" dxfId="41" priority="9">
      <formula>#REF!="제외"</formula>
    </cfRule>
    <cfRule type="expression" dxfId="40" priority="10">
      <formula>#REF!="불가"</formula>
    </cfRule>
    <cfRule type="expression" dxfId="39" priority="11">
      <formula>#REF!="부분수용"</formula>
    </cfRule>
    <cfRule type="expression" dxfId="38" priority="12">
      <formula>#REF!="수용"</formula>
    </cfRule>
  </conditionalFormatting>
  <dataValidations count="2">
    <dataValidation type="list" allowBlank="1" showInputMessage="1" showErrorMessage="1" sqref="J6:J9" xr:uid="{2E75699D-F96E-46D9-B048-A576D7DFA470}">
      <formula1>"수용,부분수용,불가,제외,확인중,중복"</formula1>
    </dataValidation>
    <dataValidation type="list" allowBlank="1" showInputMessage="1" showErrorMessage="1" sqref="I6:I9" xr:uid="{E02DE3DE-F929-446E-B97D-8A6D90FEEDA6}">
      <formula1>"기능,비기능(품질),인터페이스,기술인프라,기타"</formula1>
    </dataValidation>
  </dataValidations>
  <pageMargins left="0.59055118110236227" right="0.59055118110236227" top="0.78740157480314965" bottom="0.51181102362204722" header="0.51181102362204722" footer="0.31496062992125978"/>
  <pageSetup paperSize="9" scale="50" fitToHeight="0" orientation="landscape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showGridLines="0" zoomScaleNormal="10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K42" sqref="K42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1.08203125" style="19" customWidth="1"/>
    <col min="4" max="4" width="12.75" style="17" customWidth="1"/>
    <col min="5" max="5" width="17.33203125" style="17" customWidth="1"/>
    <col min="6" max="6" width="28.75" style="17" customWidth="1"/>
    <col min="7" max="8" width="28.75" style="18" customWidth="1"/>
    <col min="9" max="9" width="5.75" style="19" customWidth="1"/>
    <col min="10" max="10" width="4.4140625" style="19" bestFit="1" customWidth="1"/>
    <col min="11" max="11" width="23.4140625" style="17" customWidth="1"/>
    <col min="12" max="12" width="12.08203125" style="17" customWidth="1"/>
    <col min="13" max="13" width="9.66406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전자결재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 thickBo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17" t="str">
        <f ca="1">RIGHT(CELL("filename",A1),LEN(CELL("filename",A1))-FIND("]",CELL("filename",A1))) &amp; " 요구사항 정의"</f>
        <v>전자결재 요구사항 정의</v>
      </c>
      <c r="B4" s="118"/>
      <c r="C4" s="118"/>
      <c r="D4" s="118"/>
      <c r="E4" s="118"/>
      <c r="F4" s="118"/>
      <c r="G4" s="118"/>
      <c r="H4" s="102"/>
      <c r="I4" s="119" t="s">
        <v>13</v>
      </c>
      <c r="J4" s="118"/>
      <c r="K4" s="118"/>
      <c r="L4" s="118"/>
      <c r="M4" s="118"/>
      <c r="N4" s="102"/>
    </row>
    <row r="5" spans="1:14" s="16" customFormat="1" ht="26.25" customHeight="1">
      <c r="A5" s="45" t="s">
        <v>14</v>
      </c>
      <c r="B5" s="46" t="s">
        <v>15</v>
      </c>
      <c r="C5" s="47" t="s">
        <v>16</v>
      </c>
      <c r="D5" s="46" t="s">
        <v>17</v>
      </c>
      <c r="E5" s="46" t="s">
        <v>18</v>
      </c>
      <c r="F5" s="46" t="s">
        <v>19</v>
      </c>
      <c r="G5" s="46" t="s">
        <v>20</v>
      </c>
      <c r="H5" s="46" t="s">
        <v>21</v>
      </c>
      <c r="I5" s="46" t="s">
        <v>22</v>
      </c>
      <c r="J5" s="46" t="s">
        <v>23</v>
      </c>
      <c r="K5" s="46" t="s">
        <v>24</v>
      </c>
      <c r="L5" s="46" t="s">
        <v>25</v>
      </c>
      <c r="M5" s="46" t="s">
        <v>26</v>
      </c>
      <c r="N5" s="48" t="s">
        <v>27</v>
      </c>
    </row>
    <row r="6" spans="1:14" ht="39.4" customHeight="1">
      <c r="A6" s="51">
        <f>ROW($A6)-5</f>
        <v>1</v>
      </c>
      <c r="B6" s="51" t="s">
        <v>43</v>
      </c>
      <c r="C6" s="52" t="s">
        <v>44</v>
      </c>
      <c r="D6" s="49" t="s">
        <v>45</v>
      </c>
      <c r="E6" s="28" t="s">
        <v>46</v>
      </c>
      <c r="F6" s="20" t="s">
        <v>47</v>
      </c>
      <c r="G6" s="20"/>
      <c r="H6" s="20"/>
      <c r="I6" s="51" t="s">
        <v>30</v>
      </c>
      <c r="J6" s="51" t="s">
        <v>31</v>
      </c>
      <c r="K6" s="63" t="s">
        <v>48</v>
      </c>
      <c r="L6" s="51"/>
      <c r="M6" s="51"/>
      <c r="N6" s="50"/>
    </row>
    <row r="7" spans="1:14" ht="58">
      <c r="A7" s="51">
        <f>ROW($A7)-5</f>
        <v>2</v>
      </c>
      <c r="B7" s="51" t="s">
        <v>43</v>
      </c>
      <c r="C7" s="52" t="s">
        <v>49</v>
      </c>
      <c r="D7" s="49" t="s">
        <v>45</v>
      </c>
      <c r="E7" s="28" t="s">
        <v>50</v>
      </c>
      <c r="F7" s="20" t="s">
        <v>51</v>
      </c>
      <c r="G7" s="72" t="s">
        <v>99</v>
      </c>
      <c r="H7" s="73" t="s">
        <v>97</v>
      </c>
      <c r="I7" s="51" t="s">
        <v>30</v>
      </c>
      <c r="J7" s="51" t="s">
        <v>31</v>
      </c>
      <c r="K7" s="74" t="s">
        <v>52</v>
      </c>
      <c r="L7" s="75" t="s">
        <v>98</v>
      </c>
      <c r="M7" s="51"/>
      <c r="N7" s="50"/>
    </row>
    <row r="8" spans="1:14" ht="39.4" customHeight="1">
      <c r="A8" s="51">
        <v>3</v>
      </c>
      <c r="B8" s="51" t="s">
        <v>43</v>
      </c>
      <c r="C8" s="52" t="s">
        <v>53</v>
      </c>
      <c r="D8" s="49" t="s">
        <v>45</v>
      </c>
      <c r="E8" s="28" t="s">
        <v>33</v>
      </c>
      <c r="F8" s="20" t="s">
        <v>54</v>
      </c>
      <c r="G8" s="20" t="s">
        <v>55</v>
      </c>
      <c r="H8" s="28"/>
      <c r="I8" s="51" t="s">
        <v>30</v>
      </c>
      <c r="J8" s="51" t="s">
        <v>31</v>
      </c>
      <c r="K8" s="63" t="s">
        <v>56</v>
      </c>
      <c r="L8" s="51"/>
      <c r="M8" s="51"/>
      <c r="N8" s="50"/>
    </row>
    <row r="9" spans="1:14" ht="48">
      <c r="A9" s="51">
        <v>4</v>
      </c>
      <c r="B9" s="51" t="s">
        <v>43</v>
      </c>
      <c r="C9" s="52" t="s">
        <v>100</v>
      </c>
      <c r="D9" s="62" t="s">
        <v>132</v>
      </c>
      <c r="E9" s="62" t="s">
        <v>126</v>
      </c>
      <c r="F9" s="62" t="s">
        <v>126</v>
      </c>
      <c r="G9" s="62" t="s">
        <v>127</v>
      </c>
      <c r="H9" s="62" t="s">
        <v>128</v>
      </c>
      <c r="I9" s="59" t="s">
        <v>129</v>
      </c>
      <c r="J9" s="59" t="s">
        <v>130</v>
      </c>
      <c r="K9" s="62" t="s">
        <v>131</v>
      </c>
      <c r="L9" s="62"/>
      <c r="M9" s="59"/>
      <c r="N9" s="62"/>
    </row>
    <row r="10" spans="1:14" ht="32">
      <c r="A10" s="51">
        <v>5</v>
      </c>
      <c r="B10" s="51" t="s">
        <v>43</v>
      </c>
      <c r="C10" s="52" t="s">
        <v>101</v>
      </c>
      <c r="D10" s="62" t="s">
        <v>133</v>
      </c>
      <c r="E10" s="62" t="s">
        <v>126</v>
      </c>
      <c r="F10" s="62" t="s">
        <v>126</v>
      </c>
      <c r="G10" s="62" t="s">
        <v>127</v>
      </c>
      <c r="H10" s="62" t="s">
        <v>128</v>
      </c>
      <c r="I10" s="59" t="s">
        <v>129</v>
      </c>
      <c r="J10" s="59" t="s">
        <v>130</v>
      </c>
      <c r="K10" s="62" t="s">
        <v>131</v>
      </c>
      <c r="L10" s="62"/>
      <c r="M10" s="59"/>
      <c r="N10" s="62"/>
    </row>
    <row r="11" spans="1:14" ht="32">
      <c r="A11" s="51">
        <v>6</v>
      </c>
      <c r="B11" s="51" t="s">
        <v>43</v>
      </c>
      <c r="C11" s="52" t="s">
        <v>102</v>
      </c>
      <c r="D11" s="62" t="s">
        <v>134</v>
      </c>
      <c r="E11" s="62" t="s">
        <v>126</v>
      </c>
      <c r="F11" s="62" t="s">
        <v>126</v>
      </c>
      <c r="G11" s="62" t="s">
        <v>127</v>
      </c>
      <c r="H11" s="62" t="s">
        <v>128</v>
      </c>
      <c r="I11" s="59" t="s">
        <v>129</v>
      </c>
      <c r="J11" s="59" t="s">
        <v>130</v>
      </c>
      <c r="K11" s="62" t="s">
        <v>131</v>
      </c>
      <c r="L11" s="62"/>
      <c r="M11" s="59"/>
      <c r="N11" s="62"/>
    </row>
    <row r="12" spans="1:14" ht="32">
      <c r="A12" s="51">
        <v>7</v>
      </c>
      <c r="B12" s="51" t="s">
        <v>43</v>
      </c>
      <c r="C12" s="52" t="s">
        <v>103</v>
      </c>
      <c r="D12" s="62" t="s">
        <v>135</v>
      </c>
      <c r="E12" s="62" t="s">
        <v>126</v>
      </c>
      <c r="F12" s="62" t="s">
        <v>126</v>
      </c>
      <c r="G12" s="62" t="s">
        <v>127</v>
      </c>
      <c r="H12" s="62" t="s">
        <v>128</v>
      </c>
      <c r="I12" s="59" t="s">
        <v>129</v>
      </c>
      <c r="J12" s="59" t="s">
        <v>130</v>
      </c>
      <c r="K12" s="62" t="s">
        <v>131</v>
      </c>
      <c r="L12" s="62"/>
      <c r="M12" s="59"/>
      <c r="N12" s="62"/>
    </row>
    <row r="13" spans="1:14" ht="32">
      <c r="A13" s="51">
        <v>8</v>
      </c>
      <c r="B13" s="51" t="s">
        <v>43</v>
      </c>
      <c r="C13" s="52" t="s">
        <v>104</v>
      </c>
      <c r="D13" s="61" t="s">
        <v>136</v>
      </c>
      <c r="E13" s="62" t="s">
        <v>126</v>
      </c>
      <c r="F13" s="62" t="s">
        <v>126</v>
      </c>
      <c r="G13" s="62" t="s">
        <v>127</v>
      </c>
      <c r="H13" s="62" t="s">
        <v>128</v>
      </c>
      <c r="I13" s="59" t="s">
        <v>129</v>
      </c>
      <c r="J13" s="59" t="s">
        <v>130</v>
      </c>
      <c r="K13" s="62" t="s">
        <v>131</v>
      </c>
      <c r="L13" s="62"/>
      <c r="M13" s="59"/>
      <c r="N13" s="62"/>
    </row>
    <row r="14" spans="1:14" ht="32">
      <c r="A14" s="51">
        <v>9</v>
      </c>
      <c r="B14" s="51" t="s">
        <v>43</v>
      </c>
      <c r="C14" s="52" t="s">
        <v>105</v>
      </c>
      <c r="D14" s="61" t="s">
        <v>137</v>
      </c>
      <c r="E14" s="62" t="s">
        <v>126</v>
      </c>
      <c r="F14" s="62" t="s">
        <v>126</v>
      </c>
      <c r="G14" s="62" t="s">
        <v>127</v>
      </c>
      <c r="H14" s="62" t="s">
        <v>128</v>
      </c>
      <c r="I14" s="59" t="s">
        <v>129</v>
      </c>
      <c r="J14" s="59" t="s">
        <v>130</v>
      </c>
      <c r="K14" s="62" t="s">
        <v>131</v>
      </c>
      <c r="L14" s="62"/>
      <c r="M14" s="59"/>
      <c r="N14" s="62"/>
    </row>
    <row r="15" spans="1:14" ht="32">
      <c r="A15" s="51">
        <v>10</v>
      </c>
      <c r="B15" s="51" t="s">
        <v>43</v>
      </c>
      <c r="C15" s="52" t="s">
        <v>106</v>
      </c>
      <c r="D15" s="61" t="s">
        <v>138</v>
      </c>
      <c r="E15" s="62" t="s">
        <v>126</v>
      </c>
      <c r="F15" s="62" t="s">
        <v>126</v>
      </c>
      <c r="G15" s="62" t="s">
        <v>127</v>
      </c>
      <c r="H15" s="62" t="s">
        <v>128</v>
      </c>
      <c r="I15" s="59" t="s">
        <v>129</v>
      </c>
      <c r="J15" s="59" t="s">
        <v>130</v>
      </c>
      <c r="K15" s="62" t="s">
        <v>131</v>
      </c>
      <c r="L15" s="62"/>
      <c r="M15" s="59"/>
      <c r="N15" s="62"/>
    </row>
    <row r="16" spans="1:14" ht="32">
      <c r="A16" s="51">
        <v>11</v>
      </c>
      <c r="B16" s="51" t="s">
        <v>43</v>
      </c>
      <c r="C16" s="52" t="s">
        <v>107</v>
      </c>
      <c r="D16" s="61" t="s">
        <v>139</v>
      </c>
      <c r="E16" s="62" t="s">
        <v>126</v>
      </c>
      <c r="F16" s="62" t="s">
        <v>126</v>
      </c>
      <c r="G16" s="62" t="s">
        <v>127</v>
      </c>
      <c r="H16" s="62" t="s">
        <v>128</v>
      </c>
      <c r="I16" s="59" t="s">
        <v>129</v>
      </c>
      <c r="J16" s="59" t="s">
        <v>130</v>
      </c>
      <c r="K16" s="62" t="s">
        <v>131</v>
      </c>
      <c r="L16" s="62"/>
      <c r="M16" s="59"/>
      <c r="N16" s="62"/>
    </row>
    <row r="17" spans="1:14" ht="32">
      <c r="A17" s="51">
        <v>12</v>
      </c>
      <c r="B17" s="51" t="s">
        <v>43</v>
      </c>
      <c r="C17" s="52" t="s">
        <v>108</v>
      </c>
      <c r="D17" s="61" t="s">
        <v>140</v>
      </c>
      <c r="E17" s="62" t="s">
        <v>126</v>
      </c>
      <c r="F17" s="62" t="s">
        <v>126</v>
      </c>
      <c r="G17" s="62" t="s">
        <v>127</v>
      </c>
      <c r="H17" s="62" t="s">
        <v>128</v>
      </c>
      <c r="I17" s="59" t="s">
        <v>129</v>
      </c>
      <c r="J17" s="59" t="s">
        <v>130</v>
      </c>
      <c r="K17" s="62" t="s">
        <v>131</v>
      </c>
      <c r="L17" s="62"/>
      <c r="M17" s="59"/>
      <c r="N17" s="62"/>
    </row>
    <row r="18" spans="1:14" ht="48">
      <c r="A18" s="51">
        <v>13</v>
      </c>
      <c r="B18" s="51" t="s">
        <v>43</v>
      </c>
      <c r="C18" s="52" t="s">
        <v>109</v>
      </c>
      <c r="D18" s="61" t="s">
        <v>141</v>
      </c>
      <c r="E18" s="62" t="s">
        <v>126</v>
      </c>
      <c r="F18" s="62" t="s">
        <v>126</v>
      </c>
      <c r="G18" s="62" t="s">
        <v>127</v>
      </c>
      <c r="H18" s="62" t="s">
        <v>128</v>
      </c>
      <c r="I18" s="59" t="s">
        <v>129</v>
      </c>
      <c r="J18" s="59" t="s">
        <v>130</v>
      </c>
      <c r="K18" s="62" t="s">
        <v>131</v>
      </c>
      <c r="L18" s="62"/>
      <c r="M18" s="59"/>
      <c r="N18" s="62"/>
    </row>
    <row r="19" spans="1:14" ht="48">
      <c r="A19" s="51">
        <v>14</v>
      </c>
      <c r="B19" s="51" t="s">
        <v>43</v>
      </c>
      <c r="C19" s="52" t="s">
        <v>110</v>
      </c>
      <c r="D19" s="61" t="s">
        <v>142</v>
      </c>
      <c r="E19" s="62" t="s">
        <v>126</v>
      </c>
      <c r="F19" s="62" t="s">
        <v>126</v>
      </c>
      <c r="G19" s="62" t="s">
        <v>127</v>
      </c>
      <c r="H19" s="62" t="s">
        <v>128</v>
      </c>
      <c r="I19" s="59" t="s">
        <v>129</v>
      </c>
      <c r="J19" s="59" t="s">
        <v>130</v>
      </c>
      <c r="K19" s="62" t="s">
        <v>131</v>
      </c>
      <c r="L19" s="62"/>
      <c r="M19" s="59"/>
      <c r="N19" s="62"/>
    </row>
    <row r="20" spans="1:14" ht="32">
      <c r="A20" s="51">
        <v>15</v>
      </c>
      <c r="B20" s="51" t="s">
        <v>43</v>
      </c>
      <c r="C20" s="52" t="s">
        <v>111</v>
      </c>
      <c r="D20" s="61" t="s">
        <v>143</v>
      </c>
      <c r="E20" s="62" t="s">
        <v>126</v>
      </c>
      <c r="F20" s="62" t="s">
        <v>126</v>
      </c>
      <c r="G20" s="62" t="s">
        <v>127</v>
      </c>
      <c r="H20" s="62" t="s">
        <v>128</v>
      </c>
      <c r="I20" s="59" t="s">
        <v>129</v>
      </c>
      <c r="J20" s="59" t="s">
        <v>130</v>
      </c>
      <c r="K20" s="62" t="s">
        <v>131</v>
      </c>
      <c r="L20" s="62"/>
      <c r="M20" s="59"/>
      <c r="N20" s="62"/>
    </row>
    <row r="21" spans="1:14" ht="48">
      <c r="A21" s="51">
        <v>16</v>
      </c>
      <c r="B21" s="51" t="s">
        <v>43</v>
      </c>
      <c r="C21" s="52" t="s">
        <v>112</v>
      </c>
      <c r="D21" s="61" t="s">
        <v>144</v>
      </c>
      <c r="E21" s="62" t="s">
        <v>126</v>
      </c>
      <c r="F21" s="62" t="s">
        <v>126</v>
      </c>
      <c r="G21" s="62" t="s">
        <v>127</v>
      </c>
      <c r="H21" s="62" t="s">
        <v>128</v>
      </c>
      <c r="I21" s="59" t="s">
        <v>129</v>
      </c>
      <c r="J21" s="59" t="s">
        <v>130</v>
      </c>
      <c r="K21" s="62" t="s">
        <v>131</v>
      </c>
      <c r="L21" s="62"/>
      <c r="M21" s="59"/>
      <c r="N21" s="62"/>
    </row>
    <row r="22" spans="1:14" ht="32">
      <c r="A22" s="51">
        <v>17</v>
      </c>
      <c r="B22" s="51" t="s">
        <v>43</v>
      </c>
      <c r="C22" s="52" t="s">
        <v>113</v>
      </c>
      <c r="D22" s="61" t="s">
        <v>145</v>
      </c>
      <c r="E22" s="62" t="s">
        <v>126</v>
      </c>
      <c r="F22" s="62" t="s">
        <v>126</v>
      </c>
      <c r="G22" s="62" t="s">
        <v>127</v>
      </c>
      <c r="H22" s="62" t="s">
        <v>128</v>
      </c>
      <c r="I22" s="59" t="s">
        <v>129</v>
      </c>
      <c r="J22" s="59" t="s">
        <v>130</v>
      </c>
      <c r="K22" s="62" t="s">
        <v>131</v>
      </c>
      <c r="L22" s="62"/>
      <c r="M22" s="59"/>
      <c r="N22" s="62"/>
    </row>
    <row r="23" spans="1:14" ht="32">
      <c r="A23" s="51">
        <v>18</v>
      </c>
      <c r="B23" s="51" t="s">
        <v>43</v>
      </c>
      <c r="C23" s="52" t="s">
        <v>114</v>
      </c>
      <c r="D23" s="61" t="s">
        <v>146</v>
      </c>
      <c r="E23" s="62" t="s">
        <v>126</v>
      </c>
      <c r="F23" s="62" t="s">
        <v>126</v>
      </c>
      <c r="G23" s="62" t="s">
        <v>127</v>
      </c>
      <c r="H23" s="62" t="s">
        <v>128</v>
      </c>
      <c r="I23" s="59" t="s">
        <v>129</v>
      </c>
      <c r="J23" s="59" t="s">
        <v>130</v>
      </c>
      <c r="K23" s="62" t="s">
        <v>131</v>
      </c>
      <c r="L23" s="62"/>
      <c r="M23" s="59"/>
      <c r="N23" s="62"/>
    </row>
    <row r="24" spans="1:14" ht="32">
      <c r="A24" s="51">
        <v>19</v>
      </c>
      <c r="B24" s="51" t="s">
        <v>43</v>
      </c>
      <c r="C24" s="52" t="s">
        <v>115</v>
      </c>
      <c r="D24" s="61" t="s">
        <v>147</v>
      </c>
      <c r="E24" s="62" t="s">
        <v>126</v>
      </c>
      <c r="F24" s="62" t="s">
        <v>126</v>
      </c>
      <c r="G24" s="62" t="s">
        <v>127</v>
      </c>
      <c r="H24" s="62" t="s">
        <v>128</v>
      </c>
      <c r="I24" s="59" t="s">
        <v>129</v>
      </c>
      <c r="J24" s="59" t="s">
        <v>130</v>
      </c>
      <c r="K24" s="62" t="s">
        <v>131</v>
      </c>
      <c r="L24" s="62"/>
      <c r="M24" s="59"/>
      <c r="N24" s="62"/>
    </row>
    <row r="25" spans="1:14" ht="32">
      <c r="A25" s="51">
        <v>20</v>
      </c>
      <c r="B25" s="51" t="s">
        <v>43</v>
      </c>
      <c r="C25" s="52" t="s">
        <v>116</v>
      </c>
      <c r="D25" s="61" t="s">
        <v>148</v>
      </c>
      <c r="E25" s="62" t="s">
        <v>126</v>
      </c>
      <c r="F25" s="62" t="s">
        <v>126</v>
      </c>
      <c r="G25" s="62" t="s">
        <v>127</v>
      </c>
      <c r="H25" s="62" t="s">
        <v>128</v>
      </c>
      <c r="I25" s="59" t="s">
        <v>129</v>
      </c>
      <c r="J25" s="59" t="s">
        <v>130</v>
      </c>
      <c r="K25" s="62" t="s">
        <v>131</v>
      </c>
      <c r="L25" s="62"/>
      <c r="M25" s="59"/>
      <c r="N25" s="62"/>
    </row>
    <row r="26" spans="1:14" ht="32">
      <c r="A26" s="51">
        <v>21</v>
      </c>
      <c r="B26" s="51" t="s">
        <v>43</v>
      </c>
      <c r="C26" s="52" t="s">
        <v>117</v>
      </c>
      <c r="D26" s="61" t="s">
        <v>149</v>
      </c>
      <c r="E26" s="62" t="s">
        <v>126</v>
      </c>
      <c r="F26" s="62" t="s">
        <v>126</v>
      </c>
      <c r="G26" s="62" t="s">
        <v>127</v>
      </c>
      <c r="H26" s="62" t="s">
        <v>128</v>
      </c>
      <c r="I26" s="59" t="s">
        <v>129</v>
      </c>
      <c r="J26" s="59" t="s">
        <v>130</v>
      </c>
      <c r="K26" s="62" t="s">
        <v>131</v>
      </c>
      <c r="L26" s="62"/>
      <c r="M26" s="59"/>
      <c r="N26" s="62"/>
    </row>
    <row r="27" spans="1:14" ht="32">
      <c r="A27" s="51">
        <v>22</v>
      </c>
      <c r="B27" s="51" t="s">
        <v>43</v>
      </c>
      <c r="C27" s="52" t="s">
        <v>118</v>
      </c>
      <c r="D27" s="61" t="s">
        <v>150</v>
      </c>
      <c r="E27" s="62" t="s">
        <v>126</v>
      </c>
      <c r="F27" s="62" t="s">
        <v>126</v>
      </c>
      <c r="G27" s="62" t="s">
        <v>127</v>
      </c>
      <c r="H27" s="62" t="s">
        <v>128</v>
      </c>
      <c r="I27" s="59" t="s">
        <v>129</v>
      </c>
      <c r="J27" s="59" t="s">
        <v>130</v>
      </c>
      <c r="K27" s="62" t="s">
        <v>131</v>
      </c>
      <c r="L27" s="62"/>
      <c r="M27" s="59"/>
      <c r="N27" s="62"/>
    </row>
    <row r="28" spans="1:14" ht="32">
      <c r="A28" s="51">
        <v>23</v>
      </c>
      <c r="B28" s="51" t="s">
        <v>43</v>
      </c>
      <c r="C28" s="52" t="s">
        <v>119</v>
      </c>
      <c r="D28" s="61" t="s">
        <v>151</v>
      </c>
      <c r="E28" s="62" t="s">
        <v>126</v>
      </c>
      <c r="F28" s="62" t="s">
        <v>126</v>
      </c>
      <c r="G28" s="62" t="s">
        <v>127</v>
      </c>
      <c r="H28" s="62" t="s">
        <v>128</v>
      </c>
      <c r="I28" s="59" t="s">
        <v>129</v>
      </c>
      <c r="J28" s="59" t="s">
        <v>130</v>
      </c>
      <c r="K28" s="62" t="s">
        <v>131</v>
      </c>
      <c r="L28" s="62"/>
      <c r="M28" s="59"/>
      <c r="N28" s="62"/>
    </row>
    <row r="29" spans="1:14" ht="32">
      <c r="A29" s="51">
        <v>24</v>
      </c>
      <c r="B29" s="51" t="s">
        <v>43</v>
      </c>
      <c r="C29" s="52" t="s">
        <v>120</v>
      </c>
      <c r="D29" s="61" t="s">
        <v>152</v>
      </c>
      <c r="E29" s="62" t="s">
        <v>126</v>
      </c>
      <c r="F29" s="62" t="s">
        <v>126</v>
      </c>
      <c r="G29" s="62" t="s">
        <v>127</v>
      </c>
      <c r="H29" s="62" t="s">
        <v>128</v>
      </c>
      <c r="I29" s="59" t="s">
        <v>129</v>
      </c>
      <c r="J29" s="59" t="s">
        <v>130</v>
      </c>
      <c r="K29" s="62" t="s">
        <v>131</v>
      </c>
      <c r="L29" s="62"/>
      <c r="M29" s="59"/>
      <c r="N29" s="62"/>
    </row>
    <row r="30" spans="1:14" ht="32">
      <c r="A30" s="51">
        <v>25</v>
      </c>
      <c r="B30" s="51" t="s">
        <v>43</v>
      </c>
      <c r="C30" s="52" t="s">
        <v>121</v>
      </c>
      <c r="D30" s="61" t="s">
        <v>153</v>
      </c>
      <c r="E30" s="62" t="s">
        <v>126</v>
      </c>
      <c r="F30" s="62" t="s">
        <v>126</v>
      </c>
      <c r="G30" s="62" t="s">
        <v>127</v>
      </c>
      <c r="H30" s="62" t="s">
        <v>128</v>
      </c>
      <c r="I30" s="59" t="s">
        <v>129</v>
      </c>
      <c r="J30" s="59" t="s">
        <v>130</v>
      </c>
      <c r="K30" s="62" t="s">
        <v>131</v>
      </c>
      <c r="L30" s="62"/>
      <c r="M30" s="59"/>
      <c r="N30" s="62"/>
    </row>
    <row r="31" spans="1:14" ht="32">
      <c r="A31" s="51">
        <v>26</v>
      </c>
      <c r="B31" s="51" t="s">
        <v>43</v>
      </c>
      <c r="C31" s="52" t="s">
        <v>122</v>
      </c>
      <c r="D31" s="61" t="s">
        <v>154</v>
      </c>
      <c r="E31" s="62" t="s">
        <v>126</v>
      </c>
      <c r="F31" s="62" t="s">
        <v>126</v>
      </c>
      <c r="G31" s="62" t="s">
        <v>127</v>
      </c>
      <c r="H31" s="62" t="s">
        <v>128</v>
      </c>
      <c r="I31" s="59" t="s">
        <v>129</v>
      </c>
      <c r="J31" s="59" t="s">
        <v>130</v>
      </c>
      <c r="K31" s="62" t="s">
        <v>131</v>
      </c>
      <c r="L31" s="62"/>
      <c r="M31" s="59"/>
      <c r="N31" s="62"/>
    </row>
    <row r="32" spans="1:14" ht="32">
      <c r="A32" s="51">
        <v>27</v>
      </c>
      <c r="B32" s="51" t="s">
        <v>43</v>
      </c>
      <c r="C32" s="52" t="s">
        <v>123</v>
      </c>
      <c r="D32" s="61" t="s">
        <v>155</v>
      </c>
      <c r="E32" s="62" t="s">
        <v>126</v>
      </c>
      <c r="F32" s="62" t="s">
        <v>126</v>
      </c>
      <c r="G32" s="62" t="s">
        <v>127</v>
      </c>
      <c r="H32" s="62" t="s">
        <v>128</v>
      </c>
      <c r="I32" s="59" t="s">
        <v>129</v>
      </c>
      <c r="J32" s="59" t="s">
        <v>130</v>
      </c>
      <c r="K32" s="62" t="s">
        <v>131</v>
      </c>
      <c r="L32" s="62"/>
      <c r="M32" s="59"/>
      <c r="N32" s="62"/>
    </row>
    <row r="33" spans="1:14" ht="32">
      <c r="A33" s="51">
        <v>28</v>
      </c>
      <c r="B33" s="51" t="s">
        <v>43</v>
      </c>
      <c r="C33" s="52" t="s">
        <v>124</v>
      </c>
      <c r="D33" s="61" t="s">
        <v>156</v>
      </c>
      <c r="E33" s="62" t="s">
        <v>126</v>
      </c>
      <c r="F33" s="62" t="s">
        <v>126</v>
      </c>
      <c r="G33" s="62" t="s">
        <v>127</v>
      </c>
      <c r="H33" s="62" t="s">
        <v>128</v>
      </c>
      <c r="I33" s="59" t="s">
        <v>129</v>
      </c>
      <c r="J33" s="59" t="s">
        <v>130</v>
      </c>
      <c r="K33" s="62" t="s">
        <v>131</v>
      </c>
      <c r="L33" s="62"/>
      <c r="M33" s="59"/>
      <c r="N33" s="62"/>
    </row>
    <row r="34" spans="1:14" ht="32">
      <c r="A34" s="51">
        <v>29</v>
      </c>
      <c r="B34" s="51" t="s">
        <v>43</v>
      </c>
      <c r="C34" s="52" t="s">
        <v>125</v>
      </c>
      <c r="D34" s="61" t="s">
        <v>157</v>
      </c>
      <c r="E34" s="62" t="s">
        <v>126</v>
      </c>
      <c r="F34" s="62" t="s">
        <v>126</v>
      </c>
      <c r="G34" s="62" t="s">
        <v>127</v>
      </c>
      <c r="H34" s="62" t="s">
        <v>128</v>
      </c>
      <c r="I34" s="59" t="s">
        <v>129</v>
      </c>
      <c r="J34" s="59" t="s">
        <v>130</v>
      </c>
      <c r="K34" s="62" t="s">
        <v>131</v>
      </c>
      <c r="L34" s="62"/>
      <c r="M34" s="59"/>
      <c r="N34" s="62"/>
    </row>
  </sheetData>
  <mergeCells count="4">
    <mergeCell ref="A2:F2"/>
    <mergeCell ref="I4:N4"/>
    <mergeCell ref="A4:H4"/>
    <mergeCell ref="A1:N1"/>
  </mergeCells>
  <phoneticPr fontId="10" type="noConversion"/>
  <conditionalFormatting sqref="A6:J6 A8:J8 A7:F7 I7:J7 A9:C34">
    <cfRule type="expression" dxfId="37" priority="11">
      <formula>IF($J6="제외", TRUE, FALSE)</formula>
    </cfRule>
    <cfRule type="expression" dxfId="36" priority="12">
      <formula>IF(OR($J6="부분수용", $J6="불가"), TRUE, FALSE)</formula>
    </cfRule>
  </conditionalFormatting>
  <conditionalFormatting sqref="A35:K86 D9:K34">
    <cfRule type="expression" dxfId="35" priority="125">
      <formula>IF($J9="제외", TRUE, FALSE)</formula>
    </cfRule>
    <cfRule type="expression" dxfId="34" priority="126">
      <formula>IF(OR($J9="부분수용", $J9="불가"), TRUE, FALSE)</formula>
    </cfRule>
  </conditionalFormatting>
  <conditionalFormatting sqref="K6:K8">
    <cfRule type="expression" dxfId="33" priority="5">
      <formula>$O6="중복"</formula>
    </cfRule>
    <cfRule type="expression" dxfId="32" priority="6">
      <formula>$O6="확인중"</formula>
    </cfRule>
    <cfRule type="expression" dxfId="31" priority="7">
      <formula>$O6="제외"</formula>
    </cfRule>
    <cfRule type="expression" dxfId="30" priority="8">
      <formula>$O6="불가"</formula>
    </cfRule>
    <cfRule type="expression" dxfId="29" priority="9">
      <formula>$O6="부분수용"</formula>
    </cfRule>
    <cfRule type="expression" dxfId="28" priority="10">
      <formula>$O6="수용"</formula>
    </cfRule>
  </conditionalFormatting>
  <conditionalFormatting sqref="L6:N6 M7:N7 L8:N86">
    <cfRule type="expression" dxfId="27" priority="119">
      <formula>IF($J6="제외", TRUE, FALSE)</formula>
    </cfRule>
    <cfRule type="expression" dxfId="26" priority="120">
      <formula>IF(OR($J6="부분수용", $J6="불가"), TRUE, FALSE)</formula>
    </cfRule>
  </conditionalFormatting>
  <conditionalFormatting sqref="G7:H7">
    <cfRule type="expression" dxfId="25" priority="3">
      <formula>IF($J7="제외", TRUE, FALSE)</formula>
    </cfRule>
    <cfRule type="expression" dxfId="24" priority="4">
      <formula>IF(OR($J7="부분수용", $J7="불가"), TRUE, FALSE)</formula>
    </cfRule>
  </conditionalFormatting>
  <conditionalFormatting sqref="L7">
    <cfRule type="expression" dxfId="23" priority="1">
      <formula>IF($J7="제외", TRUE, FALSE)</formula>
    </cfRule>
    <cfRule type="expression" dxfId="22" priority="2">
      <formula>IF(OR($J7="부분수용", $J7="불가"), TRUE, FALSE)</formula>
    </cfRule>
  </conditionalFormatting>
  <dataValidations count="2">
    <dataValidation type="list" allowBlank="1" showInputMessage="1" showErrorMessage="1" sqref="I6:I8" xr:uid="{00000000-0002-0000-0200-000000000000}">
      <formula1>"기능,비기능(품질),인터페이스,기술인프라,기타"</formula1>
    </dataValidation>
    <dataValidation type="list" allowBlank="1" showInputMessage="1" showErrorMessage="1" sqref="J6:J8" xr:uid="{00000000-0002-0000-0200-000001000000}">
      <formula1>"수용,부분수용,불가,제외"</formula1>
    </dataValidation>
  </dataValidations>
  <pageMargins left="0.59055118110236227" right="0.59055118110236227" top="0.78740157480314965" bottom="0.51181102362204722" header="0.51181102362204722" footer="0.31496062992125978"/>
  <pageSetup paperSize="9" scale="50" fitToHeight="0" orientation="landscape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4"/>
  <sheetViews>
    <sheetView showGridLines="0" zoomScaleNormal="10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D11" sqref="D11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1" style="19" customWidth="1"/>
    <col min="4" max="4" width="12.75" style="17" customWidth="1"/>
    <col min="5" max="5" width="24" style="17" customWidth="1"/>
    <col min="6" max="6" width="28.75" style="17" customWidth="1"/>
    <col min="7" max="8" width="28.75" style="18" customWidth="1"/>
    <col min="9" max="9" width="5.75" style="19" customWidth="1"/>
    <col min="10" max="10" width="4.4140625" style="19" bestFit="1" customWidth="1"/>
    <col min="11" max="12" width="10.6640625" style="17" customWidth="1"/>
    <col min="13" max="13" width="9.082031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웹메일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20" t="str">
        <f ca="1">RIGHT(CELL("filename",A1),LEN(CELL("filename",A1))-FIND("]",CELL("filename",A1))) &amp; " 요구사항 정의"</f>
        <v>웹메일 요구사항 정의</v>
      </c>
      <c r="B4" s="121"/>
      <c r="C4" s="121"/>
      <c r="D4" s="121"/>
      <c r="E4" s="121"/>
      <c r="F4" s="121"/>
      <c r="G4" s="121"/>
      <c r="H4" s="122"/>
      <c r="I4" s="120" t="s">
        <v>13</v>
      </c>
      <c r="J4" s="121"/>
      <c r="K4" s="121"/>
      <c r="L4" s="121"/>
      <c r="M4" s="121"/>
      <c r="N4" s="122"/>
    </row>
    <row r="5" spans="1:14" s="16" customFormat="1" ht="26.65" customHeight="1" thickBot="1">
      <c r="A5" s="34" t="s">
        <v>14</v>
      </c>
      <c r="B5" s="35" t="s">
        <v>15</v>
      </c>
      <c r="C5" s="36" t="s">
        <v>16</v>
      </c>
      <c r="D5" s="35" t="s">
        <v>17</v>
      </c>
      <c r="E5" s="35" t="s">
        <v>18</v>
      </c>
      <c r="F5" s="35" t="s">
        <v>19</v>
      </c>
      <c r="G5" s="35" t="s">
        <v>20</v>
      </c>
      <c r="H5" s="35" t="s">
        <v>21</v>
      </c>
      <c r="I5" s="35" t="s">
        <v>22</v>
      </c>
      <c r="J5" s="35" t="s">
        <v>23</v>
      </c>
      <c r="K5" s="35" t="s">
        <v>24</v>
      </c>
      <c r="L5" s="35" t="s">
        <v>25</v>
      </c>
      <c r="M5" s="35" t="s">
        <v>26</v>
      </c>
      <c r="N5" s="37" t="s">
        <v>27</v>
      </c>
    </row>
    <row r="6" spans="1:14" ht="39.4" customHeight="1">
      <c r="A6" s="13">
        <f>ROW($A6)-5</f>
        <v>1</v>
      </c>
      <c r="B6" s="51" t="s">
        <v>57</v>
      </c>
      <c r="C6" s="22" t="s">
        <v>58</v>
      </c>
      <c r="D6" s="53" t="s">
        <v>59</v>
      </c>
      <c r="E6" s="29" t="s">
        <v>60</v>
      </c>
      <c r="F6" s="20"/>
      <c r="G6" s="20"/>
      <c r="H6" s="57"/>
      <c r="I6" s="51" t="s">
        <v>30</v>
      </c>
      <c r="J6" s="51" t="s">
        <v>31</v>
      </c>
      <c r="K6" s="51" t="s">
        <v>61</v>
      </c>
      <c r="L6" s="56"/>
      <c r="M6" s="51"/>
      <c r="N6" s="14"/>
    </row>
    <row r="7" spans="1:14">
      <c r="B7" s="18"/>
      <c r="D7" s="18"/>
      <c r="E7" s="18"/>
      <c r="F7" s="18"/>
      <c r="K7" s="18"/>
      <c r="L7" s="18"/>
      <c r="N7" s="18"/>
    </row>
    <row r="8" spans="1:14">
      <c r="B8" s="18"/>
      <c r="D8" s="18"/>
      <c r="E8" s="18"/>
      <c r="F8" s="18"/>
      <c r="K8" s="18"/>
      <c r="L8" s="18"/>
      <c r="N8" s="18"/>
    </row>
    <row r="9" spans="1:14">
      <c r="B9" s="18"/>
      <c r="D9" s="18"/>
      <c r="E9" s="18"/>
      <c r="F9" s="18"/>
      <c r="K9" s="18"/>
      <c r="L9" s="18"/>
      <c r="N9" s="18"/>
    </row>
    <row r="10" spans="1:14">
      <c r="B10" s="18"/>
      <c r="D10" s="18"/>
      <c r="E10" s="18"/>
      <c r="F10" s="18"/>
      <c r="K10" s="18"/>
      <c r="L10" s="18"/>
      <c r="N10" s="18"/>
    </row>
    <row r="11" spans="1:14">
      <c r="B11" s="18"/>
      <c r="D11" s="18"/>
      <c r="E11" s="18"/>
      <c r="F11" s="18"/>
      <c r="K11" s="18"/>
      <c r="L11" s="18"/>
      <c r="N11" s="18"/>
    </row>
    <row r="12" spans="1:14">
      <c r="B12" s="18"/>
      <c r="D12" s="18"/>
      <c r="E12" s="18"/>
      <c r="F12" s="18"/>
      <c r="K12" s="18"/>
      <c r="L12" s="18"/>
      <c r="N12" s="18"/>
    </row>
    <row r="13" spans="1:14">
      <c r="B13" s="18"/>
      <c r="D13" s="18"/>
      <c r="E13" s="18"/>
      <c r="F13" s="18"/>
      <c r="K13" s="18"/>
      <c r="L13" s="18"/>
      <c r="N13" s="18"/>
    </row>
    <row r="14" spans="1:14">
      <c r="B14" s="18"/>
      <c r="D14" s="18"/>
      <c r="E14" s="18"/>
      <c r="F14" s="18"/>
      <c r="K14" s="18"/>
      <c r="L14" s="18"/>
      <c r="N14" s="18"/>
    </row>
  </sheetData>
  <mergeCells count="4">
    <mergeCell ref="A2:F2"/>
    <mergeCell ref="I4:N4"/>
    <mergeCell ref="A4:H4"/>
    <mergeCell ref="A1:N1"/>
  </mergeCells>
  <phoneticPr fontId="10" type="noConversion"/>
  <conditionalFormatting sqref="A6:N88">
    <cfRule type="expression" dxfId="21" priority="19">
      <formula>IF($J6="제외", TRUE, FALSE)</formula>
    </cfRule>
    <cfRule type="expression" dxfId="20" priority="20">
      <formula>IF(OR($J6="부분수용", $J6="불가"), TRUE, FALSE)</formula>
    </cfRule>
  </conditionalFormatting>
  <dataValidations count="2">
    <dataValidation type="list" allowBlank="1" showInputMessage="1" showErrorMessage="1" sqref="I6" xr:uid="{00000000-0002-0000-0300-000000000000}">
      <formula1>"기능,비기능(품질),인터페이스,기술인프라,기타"</formula1>
    </dataValidation>
    <dataValidation type="list" allowBlank="1" showInputMessage="1" showErrorMessage="1" sqref="J6" xr:uid="{00000000-0002-0000-0300-000001000000}">
      <formula1>"수용,부분수용,불가,제외"</formula1>
    </dataValidation>
  </dataValidations>
  <pageMargins left="0.59055118110236227" right="0.59055118110236227" top="0.78740157480314965" bottom="0.51181102362204722" header="0.51181102362204722" footer="0.31496062992125978"/>
  <pageSetup paperSize="9" scale="51" fitToHeight="0" orientation="landscape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4"/>
  <sheetViews>
    <sheetView showGridLines="0" zoomScaleNormal="10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D6" sqref="D6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1" style="19" customWidth="1"/>
    <col min="4" max="4" width="12.75" style="17" customWidth="1"/>
    <col min="5" max="5" width="24" style="17" customWidth="1"/>
    <col min="6" max="6" width="28.75" style="17" customWidth="1"/>
    <col min="7" max="8" width="28.75" style="18" customWidth="1"/>
    <col min="9" max="9" width="5.75" style="19" customWidth="1"/>
    <col min="10" max="10" width="4.4140625" style="19" bestFit="1" customWidth="1"/>
    <col min="11" max="12" width="10.6640625" style="17" customWidth="1"/>
    <col min="13" max="13" width="9.082031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Outlook Add-in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20" t="str">
        <f ca="1">RIGHT(CELL("filename",A1),LEN(CELL("filename",A1))-FIND("]",CELL("filename",A1))) &amp; " 요구사항 정의"</f>
        <v>Outlook Add-in 요구사항 정의</v>
      </c>
      <c r="B4" s="121"/>
      <c r="C4" s="121"/>
      <c r="D4" s="121"/>
      <c r="E4" s="121"/>
      <c r="F4" s="121"/>
      <c r="G4" s="121"/>
      <c r="H4" s="122"/>
      <c r="I4" s="120" t="s">
        <v>13</v>
      </c>
      <c r="J4" s="121"/>
      <c r="K4" s="121"/>
      <c r="L4" s="121"/>
      <c r="M4" s="121"/>
      <c r="N4" s="122"/>
    </row>
    <row r="5" spans="1:14" s="16" customFormat="1" ht="26.65" customHeight="1" thickBot="1">
      <c r="A5" s="34" t="s">
        <v>14</v>
      </c>
      <c r="B5" s="35" t="s">
        <v>15</v>
      </c>
      <c r="C5" s="36" t="s">
        <v>16</v>
      </c>
      <c r="D5" s="35" t="s">
        <v>17</v>
      </c>
      <c r="E5" s="35" t="s">
        <v>18</v>
      </c>
      <c r="F5" s="35" t="s">
        <v>19</v>
      </c>
      <c r="G5" s="35" t="s">
        <v>20</v>
      </c>
      <c r="H5" s="35" t="s">
        <v>21</v>
      </c>
      <c r="I5" s="35" t="s">
        <v>22</v>
      </c>
      <c r="J5" s="35" t="s">
        <v>23</v>
      </c>
      <c r="K5" s="35" t="s">
        <v>24</v>
      </c>
      <c r="L5" s="35" t="s">
        <v>25</v>
      </c>
      <c r="M5" s="35" t="s">
        <v>26</v>
      </c>
      <c r="N5" s="37" t="s">
        <v>27</v>
      </c>
    </row>
    <row r="6" spans="1:14" ht="39.4" customHeight="1">
      <c r="A6" s="13">
        <f>ROW($A6)-5</f>
        <v>1</v>
      </c>
      <c r="B6" s="51" t="s">
        <v>62</v>
      </c>
      <c r="C6" s="22" t="s">
        <v>63</v>
      </c>
      <c r="D6" s="53" t="s">
        <v>88</v>
      </c>
      <c r="E6" s="29" t="s">
        <v>89</v>
      </c>
      <c r="F6" s="29" t="s">
        <v>64</v>
      </c>
      <c r="G6" s="20"/>
      <c r="H6" s="28"/>
      <c r="I6" s="51" t="s">
        <v>30</v>
      </c>
      <c r="J6" s="51" t="s">
        <v>31</v>
      </c>
      <c r="K6" s="51" t="s">
        <v>48</v>
      </c>
      <c r="L6" s="51"/>
      <c r="M6" s="51"/>
      <c r="N6" s="14"/>
    </row>
    <row r="7" spans="1:14">
      <c r="B7" s="18"/>
      <c r="D7" s="18"/>
      <c r="E7" s="18"/>
      <c r="F7" s="18"/>
      <c r="K7" s="18"/>
      <c r="L7" s="18"/>
      <c r="N7" s="18"/>
    </row>
    <row r="8" spans="1:14">
      <c r="B8" s="18"/>
      <c r="D8" s="18"/>
      <c r="E8" s="18"/>
      <c r="F8" s="18"/>
      <c r="K8" s="18"/>
      <c r="L8" s="18"/>
      <c r="N8" s="18"/>
    </row>
    <row r="9" spans="1:14">
      <c r="B9" s="18"/>
      <c r="D9" s="18"/>
      <c r="E9" s="18"/>
      <c r="F9" s="18"/>
      <c r="K9" s="18"/>
      <c r="L9" s="18"/>
      <c r="N9" s="18"/>
    </row>
    <row r="10" spans="1:14">
      <c r="B10" s="18"/>
      <c r="D10" s="18"/>
      <c r="E10" s="18"/>
      <c r="F10" s="18"/>
      <c r="K10" s="18"/>
      <c r="L10" s="18"/>
      <c r="N10" s="18"/>
    </row>
    <row r="11" spans="1:14">
      <c r="B11" s="18"/>
      <c r="D11" s="18"/>
      <c r="E11" s="18"/>
      <c r="F11" s="18"/>
      <c r="K11" s="18"/>
      <c r="L11" s="18"/>
      <c r="N11" s="18"/>
    </row>
    <row r="12" spans="1:14">
      <c r="B12" s="18"/>
      <c r="D12" s="18"/>
      <c r="E12" s="18"/>
      <c r="F12" s="18"/>
      <c r="K12" s="18"/>
      <c r="L12" s="18"/>
      <c r="N12" s="18"/>
    </row>
    <row r="13" spans="1:14">
      <c r="B13" s="18"/>
      <c r="D13" s="18"/>
      <c r="E13" s="18"/>
      <c r="F13" s="18"/>
      <c r="K13" s="18"/>
      <c r="L13" s="18"/>
      <c r="N13" s="18"/>
    </row>
    <row r="14" spans="1:14">
      <c r="B14" s="18"/>
      <c r="D14" s="18"/>
      <c r="E14" s="18"/>
      <c r="F14" s="18"/>
      <c r="K14" s="18"/>
      <c r="L14" s="18"/>
      <c r="N14" s="18"/>
    </row>
  </sheetData>
  <mergeCells count="4">
    <mergeCell ref="A2:F2"/>
    <mergeCell ref="I4:N4"/>
    <mergeCell ref="A4:H4"/>
    <mergeCell ref="A1:N1"/>
  </mergeCells>
  <phoneticPr fontId="10" type="noConversion"/>
  <conditionalFormatting sqref="A6:N88">
    <cfRule type="expression" dxfId="19" priority="1">
      <formula>IF($J6="제외", TRUE, FALSE)</formula>
    </cfRule>
    <cfRule type="expression" dxfId="18" priority="2">
      <formula>IF(OR($J6="부분수용", $J6="불가"), TRUE, FALSE)</formula>
    </cfRule>
  </conditionalFormatting>
  <dataValidations count="2">
    <dataValidation type="list" allowBlank="1" showInputMessage="1" showErrorMessage="1" sqref="J6" xr:uid="{00000000-0002-0000-0400-000000000000}">
      <formula1>"수용,부분수용,불가,제외"</formula1>
    </dataValidation>
    <dataValidation type="list" allowBlank="1" showInputMessage="1" showErrorMessage="1" sqref="I6" xr:uid="{00000000-0002-0000-0400-000001000000}">
      <formula1>"기능,비기능(품질),인터페이스,기술인프라,기타"</formula1>
    </dataValidation>
  </dataValidations>
  <pageMargins left="0.59055118110236227" right="0.59055118110236227" top="0.78740157480314965" bottom="0.51181102362204722" header="0.51181102362204722" footer="0.31496062992125978"/>
  <pageSetup paperSize="9" scale="51" fitToHeight="0" orientation="landscape" r:id="rId1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6"/>
  <sheetViews>
    <sheetView showGridLines="0" tabSelected="1" zoomScaleNormal="10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F11" sqref="F11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1" style="19" customWidth="1"/>
    <col min="4" max="4" width="12.75" style="17" customWidth="1"/>
    <col min="5" max="5" width="24" style="17" customWidth="1"/>
    <col min="6" max="6" width="28.75" style="17" customWidth="1"/>
    <col min="7" max="8" width="28.75" style="18" customWidth="1"/>
    <col min="9" max="9" width="5.75" style="19" customWidth="1"/>
    <col min="10" max="10" width="4.4140625" style="19" bestFit="1" customWidth="1"/>
    <col min="11" max="12" width="10.6640625" style="17" customWidth="1"/>
    <col min="13" max="13" width="9.082031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조직도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20" t="str">
        <f ca="1">RIGHT(CELL("filename",A1),LEN(CELL("filename",A1))-FIND("]",CELL("filename",A1))) &amp; " 요구사항 정의"</f>
        <v>조직도 요구사항 정의</v>
      </c>
      <c r="B4" s="121"/>
      <c r="C4" s="121"/>
      <c r="D4" s="121"/>
      <c r="E4" s="121"/>
      <c r="F4" s="121"/>
      <c r="G4" s="121"/>
      <c r="H4" s="122"/>
      <c r="I4" s="120" t="s">
        <v>13</v>
      </c>
      <c r="J4" s="121"/>
      <c r="K4" s="121"/>
      <c r="L4" s="121"/>
      <c r="M4" s="121"/>
      <c r="N4" s="122"/>
    </row>
    <row r="5" spans="1:14" s="16" customFormat="1" ht="26.65" customHeight="1" thickBot="1">
      <c r="A5" s="34" t="s">
        <v>14</v>
      </c>
      <c r="B5" s="35" t="s">
        <v>15</v>
      </c>
      <c r="C5" s="36" t="s">
        <v>16</v>
      </c>
      <c r="D5" s="35" t="s">
        <v>17</v>
      </c>
      <c r="E5" s="35" t="s">
        <v>18</v>
      </c>
      <c r="F5" s="35" t="s">
        <v>19</v>
      </c>
      <c r="G5" s="35" t="s">
        <v>20</v>
      </c>
      <c r="H5" s="35" t="s">
        <v>21</v>
      </c>
      <c r="I5" s="35" t="s">
        <v>22</v>
      </c>
      <c r="J5" s="35" t="s">
        <v>23</v>
      </c>
      <c r="K5" s="35" t="s">
        <v>24</v>
      </c>
      <c r="L5" s="35" t="s">
        <v>25</v>
      </c>
      <c r="M5" s="35" t="s">
        <v>26</v>
      </c>
      <c r="N5" s="37" t="s">
        <v>27</v>
      </c>
    </row>
    <row r="6" spans="1:14" ht="39.4" customHeight="1">
      <c r="A6" s="13">
        <f>ROW($A6)-5</f>
        <v>1</v>
      </c>
      <c r="B6" s="51" t="s">
        <v>65</v>
      </c>
      <c r="C6" s="22" t="s">
        <v>66</v>
      </c>
      <c r="D6" s="53" t="s">
        <v>67</v>
      </c>
      <c r="E6" s="29" t="s">
        <v>68</v>
      </c>
      <c r="F6" s="20" t="s">
        <v>69</v>
      </c>
      <c r="G6" s="20" t="s">
        <v>159</v>
      </c>
      <c r="H6" s="20" t="s">
        <v>158</v>
      </c>
      <c r="I6" s="51" t="s">
        <v>30</v>
      </c>
      <c r="J6" s="51" t="s">
        <v>31</v>
      </c>
      <c r="K6" s="51" t="s">
        <v>52</v>
      </c>
      <c r="L6" s="51" t="s">
        <v>160</v>
      </c>
      <c r="M6" s="51"/>
      <c r="N6" s="14"/>
    </row>
    <row r="7" spans="1:14" ht="39.4" customHeight="1">
      <c r="A7" s="13">
        <f>ROW($A7)-5</f>
        <v>2</v>
      </c>
      <c r="B7" s="64" t="s">
        <v>65</v>
      </c>
      <c r="C7" s="22" t="s">
        <v>70</v>
      </c>
      <c r="D7" s="66" t="s">
        <v>65</v>
      </c>
      <c r="E7" s="67" t="s">
        <v>71</v>
      </c>
      <c r="F7" s="68" t="s">
        <v>72</v>
      </c>
      <c r="G7" s="68"/>
      <c r="H7" s="69"/>
      <c r="I7" s="64" t="s">
        <v>30</v>
      </c>
      <c r="J7" s="64" t="s">
        <v>31</v>
      </c>
      <c r="K7" s="51" t="s">
        <v>56</v>
      </c>
      <c r="L7" s="64"/>
      <c r="M7" s="64"/>
      <c r="N7" s="70"/>
    </row>
    <row r="8" spans="1:14" ht="39.4" customHeight="1">
      <c r="A8" s="13">
        <f>ROW($A8)-5</f>
        <v>3</v>
      </c>
      <c r="B8" s="64" t="s">
        <v>65</v>
      </c>
      <c r="C8" s="22" t="s">
        <v>73</v>
      </c>
      <c r="D8" s="66" t="s">
        <v>65</v>
      </c>
      <c r="E8" s="67" t="s">
        <v>74</v>
      </c>
      <c r="F8" s="68" t="s">
        <v>75</v>
      </c>
      <c r="G8" s="68"/>
      <c r="H8" s="69"/>
      <c r="I8" s="64" t="s">
        <v>30</v>
      </c>
      <c r="J8" s="64" t="s">
        <v>31</v>
      </c>
      <c r="K8" s="51" t="s">
        <v>56</v>
      </c>
      <c r="L8" s="64"/>
      <c r="M8" s="64"/>
      <c r="N8" s="70"/>
    </row>
    <row r="9" spans="1:14">
      <c r="B9" s="18"/>
      <c r="D9" s="18"/>
      <c r="E9" s="18"/>
      <c r="F9" s="18"/>
      <c r="K9" s="18"/>
      <c r="L9" s="18"/>
      <c r="N9" s="18"/>
    </row>
    <row r="10" spans="1:14">
      <c r="B10" s="18"/>
      <c r="D10" s="18"/>
      <c r="E10" s="18"/>
      <c r="F10" s="18"/>
      <c r="K10" s="18"/>
      <c r="L10" s="18"/>
      <c r="N10" s="18"/>
    </row>
    <row r="11" spans="1:14">
      <c r="B11" s="18"/>
      <c r="D11" s="18"/>
      <c r="E11" s="18"/>
      <c r="F11" s="18"/>
      <c r="K11" s="18"/>
      <c r="L11" s="18"/>
      <c r="N11" s="18"/>
    </row>
    <row r="12" spans="1:14">
      <c r="B12" s="18"/>
      <c r="D12" s="18"/>
      <c r="E12" s="18"/>
      <c r="F12" s="18"/>
      <c r="K12" s="18"/>
      <c r="L12" s="18"/>
      <c r="N12" s="18"/>
    </row>
    <row r="13" spans="1:14">
      <c r="B13" s="18"/>
      <c r="D13" s="18"/>
      <c r="E13" s="18"/>
      <c r="F13" s="18"/>
      <c r="K13" s="18"/>
      <c r="L13" s="18"/>
      <c r="N13" s="18"/>
    </row>
    <row r="14" spans="1:14">
      <c r="B14" s="18"/>
      <c r="D14" s="18"/>
      <c r="E14" s="18"/>
      <c r="F14" s="18"/>
      <c r="K14" s="18"/>
      <c r="L14" s="18"/>
      <c r="N14" s="18"/>
    </row>
    <row r="15" spans="1:14">
      <c r="B15" s="18"/>
      <c r="D15" s="18"/>
      <c r="E15" s="18"/>
      <c r="F15" s="18"/>
      <c r="K15" s="18"/>
      <c r="L15" s="18"/>
      <c r="N15" s="18"/>
    </row>
    <row r="16" spans="1:14">
      <c r="B16" s="18"/>
      <c r="D16" s="18"/>
      <c r="E16" s="18"/>
      <c r="F16" s="18"/>
      <c r="K16" s="18"/>
      <c r="L16" s="18"/>
      <c r="N16" s="18"/>
    </row>
  </sheetData>
  <mergeCells count="4">
    <mergeCell ref="A2:F2"/>
    <mergeCell ref="I4:N4"/>
    <mergeCell ref="A4:H4"/>
    <mergeCell ref="A1:N1"/>
  </mergeCells>
  <phoneticPr fontId="10" type="noConversion"/>
  <conditionalFormatting sqref="A6:F6 C6:C8 A7:B8 D7:N8 A9:N90 I6:K6 M6:N6">
    <cfRule type="expression" dxfId="17" priority="86">
      <formula>IF(OR($J6="부분수용", $J6="불가"), TRUE, FALSE)</formula>
    </cfRule>
  </conditionalFormatting>
  <conditionalFormatting sqref="B7:B8 D7:H8">
    <cfRule type="expression" dxfId="16" priority="9">
      <formula>IF($J7="제외", TRUE, FALSE)</formula>
    </cfRule>
    <cfRule type="expression" dxfId="15" priority="10">
      <formula>IF(OR($J7="부분수용", $J7="불가"), TRUE, FALSE)</formula>
    </cfRule>
  </conditionalFormatting>
  <conditionalFormatting sqref="I6:J8">
    <cfRule type="expression" dxfId="14" priority="7">
      <formula>IF($J6="제외", TRUE, FALSE)</formula>
    </cfRule>
    <cfRule type="expression" dxfId="13" priority="8">
      <formula>IF(OR($J6="부분수용", $J6="불가"), TRUE, FALSE)</formula>
    </cfRule>
  </conditionalFormatting>
  <conditionalFormatting sqref="K8">
    <cfRule type="expression" dxfId="12" priority="5">
      <formula>IF($J8="제외", TRUE, FALSE)</formula>
    </cfRule>
    <cfRule type="expression" dxfId="11" priority="6">
      <formula>IF(OR($J8="부분수용", $J8="불가"), TRUE, FALSE)</formula>
    </cfRule>
  </conditionalFormatting>
  <conditionalFormatting sqref="A7:B8 D7:N8 A6:F6 C6:C8 A9:N90 I6:K6 M6:N6">
    <cfRule type="expression" dxfId="10" priority="85">
      <formula>IF($J6="제외", TRUE, FALSE)</formula>
    </cfRule>
  </conditionalFormatting>
  <conditionalFormatting sqref="L7:N8">
    <cfRule type="expression" dxfId="9" priority="13">
      <formula>IF($J7="제외", TRUE, FALSE)</formula>
    </cfRule>
    <cfRule type="expression" dxfId="8" priority="14">
      <formula>IF(OR($J7="부분수용", $J7="불가"), TRUE, FALSE)</formula>
    </cfRule>
  </conditionalFormatting>
  <conditionalFormatting sqref="G6:H6">
    <cfRule type="expression" dxfId="3" priority="3">
      <formula>IF($J6="제외", TRUE, FALSE)</formula>
    </cfRule>
    <cfRule type="expression" dxfId="2" priority="4">
      <formula>IF(OR($J6="부분수용", $J6="불가"), TRUE, FALSE)</formula>
    </cfRule>
  </conditionalFormatting>
  <conditionalFormatting sqref="L6">
    <cfRule type="expression" dxfId="1" priority="1">
      <formula>IF($J6="제외", TRUE, FALSE)</formula>
    </cfRule>
    <cfRule type="expression" dxfId="0" priority="2">
      <formula>IF(OR($J6="부분수용", $J6="불가"), TRUE, FALSE)</formula>
    </cfRule>
  </conditionalFormatting>
  <dataValidations count="2">
    <dataValidation type="list" allowBlank="1" showInputMessage="1" showErrorMessage="1" sqref="J6:J8" xr:uid="{00000000-0002-0000-0500-000000000000}">
      <formula1>"수용,부분수용,불가,제외"</formula1>
    </dataValidation>
    <dataValidation type="list" allowBlank="1" showInputMessage="1" showErrorMessage="1" sqref="I6:I8" xr:uid="{00000000-0002-0000-0500-000001000000}">
      <formula1>"기능,비기능(품질),인터페이스,기술인프라,기타"</formula1>
    </dataValidation>
  </dataValidations>
  <pageMargins left="0.59055118110236227" right="0.59055118110236227" top="0.78740157480314965" bottom="0.51181102362204722" header="0.51181102362204722" footer="0.31496062992125978"/>
  <pageSetup paperSize="9" scale="51" fitToHeight="0" orientation="landscape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0"/>
  <sheetViews>
    <sheetView showGridLines="0" zoomScaleNormal="10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H8" sqref="H8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2.33203125" style="19" customWidth="1"/>
    <col min="4" max="4" width="12.75" style="17" customWidth="1"/>
    <col min="5" max="5" width="20.75" style="17" customWidth="1"/>
    <col min="6" max="6" width="28.75" style="17" customWidth="1"/>
    <col min="7" max="8" width="28.75" style="18" customWidth="1"/>
    <col min="9" max="9" width="5.75" style="19" customWidth="1"/>
    <col min="10" max="10" width="4.4140625" style="19" bestFit="1" customWidth="1"/>
    <col min="11" max="12" width="10.6640625" style="17" customWidth="1"/>
    <col min="13" max="13" width="9.082031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이음톡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20" t="str">
        <f ca="1">RIGHT(CELL("filename",A1),LEN(CELL("filename",A1))-FIND("]",CELL("filename",A1))) &amp; " 요구사항 정의"</f>
        <v>이음톡 요구사항 정의</v>
      </c>
      <c r="B4" s="121"/>
      <c r="C4" s="121"/>
      <c r="D4" s="121"/>
      <c r="E4" s="121"/>
      <c r="F4" s="121"/>
      <c r="G4" s="121"/>
      <c r="H4" s="122"/>
      <c r="I4" s="120" t="s">
        <v>13</v>
      </c>
      <c r="J4" s="121"/>
      <c r="K4" s="121"/>
      <c r="L4" s="121"/>
      <c r="M4" s="121"/>
      <c r="N4" s="122"/>
    </row>
    <row r="5" spans="1:14" s="16" customFormat="1" ht="26.65" customHeight="1" thickBot="1">
      <c r="A5" s="34" t="s">
        <v>14</v>
      </c>
      <c r="B5" s="35" t="s">
        <v>15</v>
      </c>
      <c r="C5" s="36" t="s">
        <v>16</v>
      </c>
      <c r="D5" s="35" t="s">
        <v>17</v>
      </c>
      <c r="E5" s="35" t="s">
        <v>18</v>
      </c>
      <c r="F5" s="35" t="s">
        <v>19</v>
      </c>
      <c r="G5" s="35" t="s">
        <v>20</v>
      </c>
      <c r="H5" s="35" t="s">
        <v>21</v>
      </c>
      <c r="I5" s="35" t="s">
        <v>22</v>
      </c>
      <c r="J5" s="35" t="s">
        <v>23</v>
      </c>
      <c r="K5" s="35" t="s">
        <v>24</v>
      </c>
      <c r="L5" s="35" t="s">
        <v>25</v>
      </c>
      <c r="M5" s="35" t="s">
        <v>26</v>
      </c>
      <c r="N5" s="37" t="s">
        <v>27</v>
      </c>
    </row>
    <row r="6" spans="1:14" ht="39.4" customHeight="1">
      <c r="A6" s="13">
        <f>ROW($A6)-5</f>
        <v>1</v>
      </c>
      <c r="B6" s="51" t="s">
        <v>76</v>
      </c>
      <c r="C6" s="22" t="s">
        <v>77</v>
      </c>
      <c r="D6" s="53" t="s">
        <v>78</v>
      </c>
      <c r="E6" s="29" t="s">
        <v>79</v>
      </c>
      <c r="F6" s="20" t="s">
        <v>80</v>
      </c>
      <c r="G6" s="20"/>
      <c r="H6" s="20"/>
      <c r="I6" s="51" t="s">
        <v>30</v>
      </c>
      <c r="J6" s="51" t="s">
        <v>31</v>
      </c>
      <c r="K6" s="51" t="s">
        <v>61</v>
      </c>
      <c r="L6" s="51"/>
      <c r="M6" s="51"/>
      <c r="N6" s="14"/>
    </row>
    <row r="7" spans="1:14" ht="39.4" customHeight="1">
      <c r="A7" s="13">
        <f>ROW($A7)-5</f>
        <v>2</v>
      </c>
      <c r="B7" s="51" t="s">
        <v>76</v>
      </c>
      <c r="C7" s="22" t="s">
        <v>81</v>
      </c>
      <c r="D7" s="53" t="s">
        <v>78</v>
      </c>
      <c r="E7" s="29" t="s">
        <v>82</v>
      </c>
      <c r="F7" s="20" t="s">
        <v>83</v>
      </c>
      <c r="G7" s="20"/>
      <c r="H7" s="28"/>
      <c r="I7" s="51" t="s">
        <v>30</v>
      </c>
      <c r="J7" s="51" t="s">
        <v>31</v>
      </c>
      <c r="K7" s="51" t="s">
        <v>48</v>
      </c>
      <c r="L7" s="51"/>
      <c r="M7" s="51"/>
      <c r="N7" s="14"/>
    </row>
    <row r="8" spans="1:14" ht="39.4" customHeight="1">
      <c r="A8" s="65">
        <f>ROW($A8)-5</f>
        <v>3</v>
      </c>
      <c r="B8" s="51" t="s">
        <v>76</v>
      </c>
      <c r="C8" s="22" t="s">
        <v>84</v>
      </c>
      <c r="D8" s="66" t="s">
        <v>78</v>
      </c>
      <c r="E8" s="67" t="s">
        <v>33</v>
      </c>
      <c r="F8" s="68" t="s">
        <v>85</v>
      </c>
      <c r="G8" s="68"/>
      <c r="H8" s="69"/>
      <c r="I8" s="64" t="s">
        <v>30</v>
      </c>
      <c r="J8" s="64" t="s">
        <v>31</v>
      </c>
      <c r="K8" s="51" t="s">
        <v>52</v>
      </c>
      <c r="L8" s="64"/>
      <c r="M8" s="64"/>
      <c r="N8" s="70"/>
    </row>
    <row r="9" spans="1:14">
      <c r="B9" s="18"/>
      <c r="D9" s="18"/>
      <c r="E9" s="18"/>
      <c r="F9" s="18"/>
      <c r="K9" s="18"/>
      <c r="L9" s="18"/>
      <c r="N9" s="18"/>
    </row>
    <row r="10" spans="1:14">
      <c r="B10" s="18"/>
      <c r="D10" s="18"/>
      <c r="E10" s="18"/>
      <c r="F10" s="18"/>
      <c r="K10" s="18"/>
      <c r="L10" s="18"/>
      <c r="N10" s="18"/>
    </row>
  </sheetData>
  <mergeCells count="4">
    <mergeCell ref="A2:F2"/>
    <mergeCell ref="I4:N4"/>
    <mergeCell ref="A4:H4"/>
    <mergeCell ref="A1:N1"/>
  </mergeCells>
  <phoneticPr fontId="10" type="noConversion"/>
  <conditionalFormatting sqref="A6:N84">
    <cfRule type="expression" dxfId="7" priority="1">
      <formula>IF($J6="제외", TRUE, FALSE)</formula>
    </cfRule>
    <cfRule type="expression" dxfId="6" priority="2">
      <formula>IF(OR($J6="부분수용", $J6="불가"), TRUE, FALSE)</formula>
    </cfRule>
  </conditionalFormatting>
  <dataValidations count="2">
    <dataValidation type="list" allowBlank="1" showInputMessage="1" showErrorMessage="1" sqref="I6:I8" xr:uid="{00000000-0002-0000-0600-000000000000}">
      <formula1>"기능,비기능(품질),인터페이스,기술인프라,기타"</formula1>
    </dataValidation>
    <dataValidation type="list" allowBlank="1" showInputMessage="1" showErrorMessage="1" sqref="J6:J8" xr:uid="{00000000-0002-0000-0600-000001000000}">
      <formula1>"수용,부분수용,불가,제외"</formula1>
    </dataValidation>
  </dataValidations>
  <pageMargins left="0.59055118110236227" right="0.59055118110236227" top="0.78740157480314965" bottom="0.51181102362204722" header="0.51181102362204722" footer="0.31496062992125978"/>
  <pageSetup paperSize="9" scale="51" fitToHeight="0" orientation="landscape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8"/>
  <sheetViews>
    <sheetView showGridLines="0" zoomScale="90" zoomScaleNormal="90" zoomScaleSheetLayoutView="130" workbookViewId="0">
      <pane xSplit="6" ySplit="5" topLeftCell="G6" activePane="bottomRight" state="frozen"/>
      <selection pane="topRight" activeCell="G1" sqref="G1"/>
      <selection pane="bottomLeft" activeCell="A4" sqref="A4"/>
      <selection pane="bottomRight" activeCell="D26" sqref="D26"/>
    </sheetView>
  </sheetViews>
  <sheetFormatPr defaultColWidth="8.9140625" defaultRowHeight="16"/>
  <cols>
    <col min="1" max="1" width="3.4140625" style="17" customWidth="1"/>
    <col min="2" max="2" width="7.4140625" style="17" customWidth="1"/>
    <col min="3" max="3" width="10.75" style="19" customWidth="1"/>
    <col min="4" max="4" width="12.75" style="17" customWidth="1"/>
    <col min="5" max="5" width="20.75" style="17" customWidth="1"/>
    <col min="6" max="6" width="28.75" style="17" customWidth="1"/>
    <col min="7" max="8" width="28.75" style="18" customWidth="1"/>
    <col min="9" max="9" width="5.75" style="19" customWidth="1"/>
    <col min="10" max="10" width="4.4140625" style="19" bestFit="1" customWidth="1"/>
    <col min="11" max="12" width="10.6640625" style="17" customWidth="1"/>
    <col min="13" max="13" width="9.08203125" style="19" bestFit="1" customWidth="1"/>
    <col min="14" max="14" width="12" style="17" customWidth="1"/>
    <col min="15" max="15" width="8.9140625" style="15" customWidth="1"/>
    <col min="16" max="16384" width="8.9140625" style="15"/>
  </cols>
  <sheetData>
    <row r="1" spans="1:14" ht="10.15" customHeight="1">
      <c r="A1" s="111"/>
      <c r="B1" s="112"/>
      <c r="C1" s="113"/>
      <c r="D1" s="112"/>
      <c r="E1" s="112"/>
      <c r="F1" s="112"/>
      <c r="G1" s="114"/>
      <c r="H1" s="114"/>
      <c r="I1" s="113"/>
      <c r="J1" s="113"/>
      <c r="K1" s="112"/>
      <c r="L1" s="112"/>
      <c r="M1" s="113"/>
      <c r="N1" s="112"/>
    </row>
    <row r="2" spans="1:14" s="16" customFormat="1" ht="24" customHeight="1" thickBot="1">
      <c r="A2" s="115" t="str">
        <f ca="1">"▣ " &amp; RIGHT(CELL("filename",A1),LEN(CELL("filename",A1))-FIND("]",CELL("filename",A1))) &amp; " 요구사항정의서"</f>
        <v>▣ 추가요구사항 요구사항정의서</v>
      </c>
      <c r="B2" s="116"/>
      <c r="C2" s="116"/>
      <c r="D2" s="116"/>
      <c r="E2" s="116"/>
      <c r="F2" s="116"/>
      <c r="G2" s="38"/>
      <c r="H2" s="39"/>
      <c r="I2" s="40"/>
      <c r="J2" s="40"/>
      <c r="K2" s="41" t="s">
        <v>11</v>
      </c>
      <c r="L2" s="42" t="s">
        <v>9</v>
      </c>
      <c r="M2" s="43" t="s">
        <v>12</v>
      </c>
      <c r="N2" s="44">
        <v>46093</v>
      </c>
    </row>
    <row r="3" spans="1:14" s="16" customFormat="1" ht="3" customHeight="1">
      <c r="A3" s="30"/>
      <c r="B3" s="33"/>
      <c r="C3" s="30"/>
      <c r="D3" s="30"/>
      <c r="E3" s="30"/>
      <c r="F3" s="31"/>
      <c r="G3" s="32"/>
      <c r="H3" s="30"/>
      <c r="I3" s="30"/>
      <c r="J3" s="30"/>
      <c r="K3" s="30"/>
      <c r="L3" s="30"/>
      <c r="M3" s="30"/>
      <c r="N3" s="30"/>
    </row>
    <row r="4" spans="1:14" s="16" customFormat="1" ht="25.15" customHeight="1">
      <c r="A4" s="120" t="str">
        <f ca="1">RIGHT(CELL("filename",A1),LEN(CELL("filename",A1))-FIND("]",CELL("filename",A1))) &amp; " 요구사항 정의"</f>
        <v>추가요구사항 요구사항 정의</v>
      </c>
      <c r="B4" s="121"/>
      <c r="C4" s="121"/>
      <c r="D4" s="121"/>
      <c r="E4" s="121"/>
      <c r="F4" s="121"/>
      <c r="G4" s="121"/>
      <c r="H4" s="122"/>
      <c r="I4" s="120" t="s">
        <v>13</v>
      </c>
      <c r="J4" s="121"/>
      <c r="K4" s="121"/>
      <c r="L4" s="121"/>
      <c r="M4" s="121"/>
      <c r="N4" s="122"/>
    </row>
    <row r="5" spans="1:14" s="16" customFormat="1" ht="26.65" customHeight="1" thickBot="1">
      <c r="A5" s="34" t="s">
        <v>14</v>
      </c>
      <c r="B5" s="35" t="s">
        <v>15</v>
      </c>
      <c r="C5" s="36" t="s">
        <v>16</v>
      </c>
      <c r="D5" s="35" t="s">
        <v>17</v>
      </c>
      <c r="E5" s="35" t="s">
        <v>18</v>
      </c>
      <c r="F5" s="35" t="s">
        <v>19</v>
      </c>
      <c r="G5" s="35" t="s">
        <v>20</v>
      </c>
      <c r="H5" s="35" t="s">
        <v>21</v>
      </c>
      <c r="I5" s="35" t="s">
        <v>22</v>
      </c>
      <c r="J5" s="35" t="s">
        <v>23</v>
      </c>
      <c r="K5" s="35" t="s">
        <v>24</v>
      </c>
      <c r="L5" s="35" t="s">
        <v>25</v>
      </c>
      <c r="M5" s="35" t="s">
        <v>26</v>
      </c>
      <c r="N5" s="37" t="s">
        <v>27</v>
      </c>
    </row>
    <row r="6" spans="1:14">
      <c r="A6" s="13"/>
      <c r="B6" s="51"/>
      <c r="C6" s="22"/>
      <c r="D6" s="53"/>
      <c r="E6" s="29"/>
      <c r="F6" s="20"/>
      <c r="G6" s="20"/>
      <c r="H6" s="28"/>
      <c r="I6" s="51"/>
      <c r="J6" s="51"/>
      <c r="K6" s="51"/>
      <c r="L6" s="51"/>
      <c r="M6" s="51"/>
      <c r="N6" s="14"/>
    </row>
    <row r="7" spans="1:14">
      <c r="A7" s="13"/>
      <c r="B7" s="51"/>
      <c r="C7" s="22"/>
      <c r="D7" s="53"/>
      <c r="E7" s="29"/>
      <c r="F7" s="20"/>
      <c r="G7" s="20"/>
      <c r="H7" s="28"/>
      <c r="I7" s="51"/>
      <c r="J7" s="51"/>
      <c r="K7" s="51"/>
      <c r="L7" s="51"/>
      <c r="M7" s="51"/>
      <c r="N7" s="14"/>
    </row>
    <row r="8" spans="1:14">
      <c r="A8" s="13"/>
      <c r="B8" s="51"/>
      <c r="C8" s="22"/>
      <c r="D8" s="53"/>
      <c r="E8" s="29"/>
      <c r="F8" s="20"/>
      <c r="G8" s="20"/>
      <c r="H8" s="20"/>
      <c r="I8" s="51"/>
      <c r="J8" s="51"/>
      <c r="K8" s="51"/>
      <c r="L8" s="51"/>
      <c r="M8" s="51"/>
      <c r="N8" s="14"/>
    </row>
    <row r="9" spans="1:14">
      <c r="A9" s="13"/>
      <c r="B9" s="51"/>
      <c r="C9" s="22"/>
      <c r="D9" s="53"/>
      <c r="E9" s="29"/>
      <c r="F9" s="20"/>
      <c r="G9" s="20"/>
      <c r="H9" s="28"/>
      <c r="I9" s="51"/>
      <c r="J9" s="51"/>
      <c r="K9" s="51"/>
      <c r="L9" s="51"/>
      <c r="M9" s="51"/>
      <c r="N9" s="14"/>
    </row>
    <row r="10" spans="1:14" ht="16.149999999999999" customHeight="1" thickBot="1">
      <c r="A10" s="23"/>
      <c r="B10" s="21"/>
      <c r="C10" s="24"/>
      <c r="D10" s="25"/>
      <c r="E10" s="26"/>
      <c r="F10" s="26"/>
      <c r="G10" s="26"/>
      <c r="H10" s="26"/>
      <c r="I10" s="21"/>
      <c r="J10" s="21"/>
      <c r="K10" s="25"/>
      <c r="L10" s="25"/>
      <c r="M10" s="21"/>
      <c r="N10" s="27"/>
    </row>
    <row r="11" spans="1:14">
      <c r="B11" s="18"/>
      <c r="D11" s="18"/>
      <c r="E11" s="18"/>
      <c r="F11" s="18"/>
      <c r="K11" s="18"/>
      <c r="L11" s="18"/>
      <c r="N11" s="18"/>
    </row>
    <row r="12" spans="1:14">
      <c r="B12" s="18"/>
      <c r="D12" s="18"/>
      <c r="E12" s="18"/>
      <c r="F12" s="18"/>
      <c r="K12" s="18"/>
      <c r="L12" s="18"/>
      <c r="N12" s="18"/>
    </row>
    <row r="13" spans="1:14">
      <c r="B13" s="18"/>
      <c r="D13" s="18"/>
      <c r="E13" s="18"/>
      <c r="F13" s="18"/>
      <c r="K13" s="18"/>
      <c r="L13" s="18"/>
      <c r="N13" s="18"/>
    </row>
    <row r="14" spans="1:14">
      <c r="B14" s="18"/>
      <c r="D14" s="18"/>
      <c r="E14" s="18"/>
      <c r="F14" s="18"/>
      <c r="K14" s="18"/>
      <c r="L14" s="18"/>
      <c r="N14" s="18"/>
    </row>
    <row r="15" spans="1:14">
      <c r="B15" s="18"/>
      <c r="D15" s="18"/>
      <c r="E15" s="18"/>
      <c r="F15" s="18"/>
      <c r="K15" s="18"/>
      <c r="L15" s="18"/>
      <c r="N15" s="18"/>
    </row>
    <row r="16" spans="1:14">
      <c r="B16" s="18"/>
      <c r="D16" s="18"/>
      <c r="E16" s="18"/>
      <c r="F16" s="18"/>
      <c r="K16" s="18"/>
      <c r="L16" s="18"/>
      <c r="N16" s="18"/>
    </row>
    <row r="17" spans="2:14">
      <c r="B17" s="18"/>
      <c r="D17" s="18"/>
      <c r="E17" s="18"/>
      <c r="F17" s="18"/>
      <c r="K17" s="18"/>
      <c r="L17" s="18"/>
      <c r="N17" s="18"/>
    </row>
    <row r="18" spans="2:14">
      <c r="B18" s="18"/>
      <c r="D18" s="18"/>
      <c r="E18" s="18"/>
      <c r="F18" s="18"/>
      <c r="K18" s="18"/>
      <c r="L18" s="18"/>
      <c r="N18" s="18"/>
    </row>
  </sheetData>
  <mergeCells count="4">
    <mergeCell ref="A2:F2"/>
    <mergeCell ref="I4:N4"/>
    <mergeCell ref="A4:H4"/>
    <mergeCell ref="A1:N1"/>
  </mergeCells>
  <phoneticPr fontId="10" type="noConversion"/>
  <conditionalFormatting sqref="A6:N92">
    <cfRule type="expression" dxfId="5" priority="1">
      <formula>IF($J6="제외", TRUE, FALSE)</formula>
    </cfRule>
    <cfRule type="expression" dxfId="4" priority="2">
      <formula>IF(OR($J6="부분수용", $J6="불가"), TRUE, FALSE)</formula>
    </cfRule>
  </conditionalFormatting>
  <dataValidations count="2">
    <dataValidation type="list" allowBlank="1" showInputMessage="1" showErrorMessage="1" sqref="I6:I10" xr:uid="{00000000-0002-0000-0700-000000000000}">
      <formula1>"기능,비기능(품질),인터페이스,기술인프라,기타"</formula1>
    </dataValidation>
    <dataValidation type="list" allowBlank="1" showInputMessage="1" showErrorMessage="1" sqref="J6:J10" xr:uid="{00000000-0002-0000-0700-000001000000}">
      <formula1>"수용,부분수용,불가,제외"</formula1>
    </dataValidation>
  </dataValidations>
  <pageMargins left="0.59055118110236227" right="0.59055118110236227" top="0.78740157480314965" bottom="0.51181102362204722" header="0.51181102362204722" footer="0.31496062992125978"/>
  <pageSetup paperSize="9" scale="51" fitToHeight="0" orientation="landscape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</vt:lpstr>
      <vt:lpstr>협업</vt:lpstr>
      <vt:lpstr>전자결재</vt:lpstr>
      <vt:lpstr>웹메일</vt:lpstr>
      <vt:lpstr>Outlook Add-in</vt:lpstr>
      <vt:lpstr>조직도</vt:lpstr>
      <vt:lpstr>이음톡</vt:lpstr>
      <vt:lpstr>추가요구사항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요구사항정의서</dc:title>
  <dc:creator>이철</dc:creator>
  <cp:lastModifiedBy>강민석</cp:lastModifiedBy>
  <cp:lastPrinted>2020-06-30T04:54:42Z</cp:lastPrinted>
  <dcterms:created xsi:type="dcterms:W3CDTF">1998-12-28T01:18:47Z</dcterms:created>
  <dcterms:modified xsi:type="dcterms:W3CDTF">2026-04-29T07:22:07Z</dcterms:modified>
</cp:coreProperties>
</file>