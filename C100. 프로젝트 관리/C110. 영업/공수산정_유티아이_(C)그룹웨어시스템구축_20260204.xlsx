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24226"/>
  <mc:AlternateContent xmlns:mc="http://schemas.openxmlformats.org/markup-compatibility/2006">
    <mc:Choice Requires="x15">
      <x15ac:absPath xmlns:x15ac="http://schemas.microsoft.com/office/spreadsheetml/2010/11/ac" url="https://covision-my.sharepoint.com/personal/khkim_covision_co_kr/Documents/Covision/★.COVISION/u.유티아이(UTI)/2026/2.공수산정/"/>
    </mc:Choice>
  </mc:AlternateContent>
  <xr:revisionPtr revIDLastSave="0" documentId="10_ncr:100_{3D65C71A-2810-44B7-96BD-ACB23B30670B}" xr6:coauthVersionLast="47" xr6:coauthVersionMax="47" xr10:uidLastSave="{00000000-0000-0000-0000-000000000000}"/>
  <bookViews>
    <workbookView xWindow="-120" yWindow="-120" windowWidth="29040" windowHeight="15720" activeTab="1" xr2:uid="{00000000-000D-0000-FFFF-FFFF00000000}"/>
  </bookViews>
  <sheets>
    <sheet name="Project 개요" sheetId="27" r:id="rId1"/>
    <sheet name="공수산정" sheetId="14" r:id="rId2"/>
    <sheet name="양식 공수" sheetId="22" r:id="rId3"/>
    <sheet name="이어카운팅_표준" sheetId="23" r:id="rId4"/>
    <sheet name="근태,휴가 표준" sheetId="24" r:id="rId5"/>
    <sheet name="COMM제품 표준" sheetId="25" r:id="rId6"/>
    <sheet name="Sheet1" sheetId="7" state="hidden" r:id="rId7"/>
    <sheet name="Sheet2" sheetId="8" state="hidden" r:id="rId8"/>
  </sheets>
  <definedNames>
    <definedName name="_xlnm._FilterDatabase" localSheetId="5" hidden="1">'COMM제품 표준'!$A$2:$Q$2</definedName>
    <definedName name="_xlnm._FilterDatabase" localSheetId="4" hidden="1">'근태,휴가 표준'!#REF!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7" l="1"/>
  <c r="P7" i="25"/>
  <c r="P6" i="25"/>
  <c r="P5" i="25"/>
  <c r="P4" i="25"/>
  <c r="P3" i="25"/>
  <c r="N4" i="24"/>
  <c r="N3" i="24"/>
  <c r="AD10" i="23"/>
  <c r="AC10" i="23"/>
  <c r="AB10" i="23"/>
  <c r="AA10" i="23"/>
  <c r="Z10" i="23"/>
  <c r="Y10" i="23"/>
  <c r="X10" i="23"/>
  <c r="W10" i="23"/>
  <c r="V10" i="23"/>
  <c r="U10" i="23"/>
  <c r="T10" i="23"/>
  <c r="S10" i="23"/>
  <c r="R10" i="23"/>
  <c r="Q10" i="23"/>
  <c r="P10" i="23"/>
  <c r="O10" i="23"/>
  <c r="N10" i="23"/>
  <c r="M10" i="23"/>
  <c r="L10" i="23"/>
  <c r="K10" i="23"/>
  <c r="I6" i="23" l="1"/>
  <c r="G50" i="14" l="1"/>
  <c r="D17" i="22" l="1"/>
  <c r="E17" i="22" s="1"/>
  <c r="D16" i="22"/>
  <c r="E16" i="22" s="1"/>
  <c r="D15" i="22"/>
  <c r="E15" i="22" s="1"/>
  <c r="B21" i="22"/>
  <c r="B11" i="22"/>
  <c r="D4" i="22"/>
  <c r="E4" i="22" s="1"/>
  <c r="D3" i="22"/>
  <c r="E3" i="22" s="1"/>
  <c r="D11" i="22" l="1"/>
  <c r="E11" i="22"/>
  <c r="D21" i="22"/>
  <c r="E21" i="22"/>
  <c r="E34" i="14" s="1"/>
  <c r="E50" i="14" l="1"/>
</calcChain>
</file>

<file path=xl/sharedStrings.xml><?xml version="1.0" encoding="utf-8"?>
<sst xmlns="http://schemas.openxmlformats.org/spreadsheetml/2006/main" count="529" uniqueCount="363">
  <si>
    <t>Production</t>
    <phoneticPr fontId="27" type="noConversion"/>
  </si>
  <si>
    <t>Development</t>
    <phoneticPr fontId="27" type="noConversion"/>
  </si>
  <si>
    <t>DR</t>
    <phoneticPr fontId="27" type="noConversion"/>
  </si>
  <si>
    <t>DR</t>
    <phoneticPr fontId="27" type="noConversion"/>
  </si>
  <si>
    <t>Operational
Role</t>
    <phoneticPr fontId="27" type="noConversion"/>
  </si>
  <si>
    <t>Description</t>
    <phoneticPr fontId="27" type="noConversion"/>
  </si>
  <si>
    <t>Model</t>
    <phoneticPr fontId="27" type="noConversion"/>
  </si>
  <si>
    <t>Vendor</t>
    <phoneticPr fontId="27" type="noConversion"/>
  </si>
  <si>
    <t>Processor</t>
    <phoneticPr fontId="27" type="noConversion"/>
  </si>
  <si>
    <t>Type</t>
    <phoneticPr fontId="27" type="noConversion"/>
  </si>
  <si>
    <t>Processor</t>
    <phoneticPr fontId="27" type="noConversion"/>
  </si>
  <si>
    <t>Core</t>
    <phoneticPr fontId="27" type="noConversion"/>
  </si>
  <si>
    <t>External Storage</t>
    <phoneticPr fontId="27" type="noConversion"/>
  </si>
  <si>
    <t>OS</t>
    <phoneticPr fontId="27" type="noConversion"/>
  </si>
  <si>
    <t>Type</t>
    <phoneticPr fontId="27" type="noConversion"/>
  </si>
  <si>
    <t>Model</t>
    <phoneticPr fontId="27" type="noConversion"/>
  </si>
  <si>
    <t>Product</t>
    <phoneticPr fontId="27" type="noConversion"/>
  </si>
  <si>
    <t>version</t>
    <phoneticPr fontId="27" type="noConversion"/>
  </si>
  <si>
    <t>SP</t>
    <phoneticPr fontId="27" type="noConversion"/>
  </si>
  <si>
    <t>LANG</t>
    <phoneticPr fontId="27" type="noConversion"/>
  </si>
  <si>
    <t>Bit</t>
    <phoneticPr fontId="27" type="noConversion"/>
  </si>
  <si>
    <t>NIC
(port)</t>
    <phoneticPr fontId="27" type="noConversion"/>
  </si>
  <si>
    <t>Memory
(GB)</t>
    <phoneticPr fontId="27" type="noConversion"/>
  </si>
  <si>
    <t>Metware - Groupware</t>
    <phoneticPr fontId="27" type="noConversion"/>
  </si>
  <si>
    <t>Metware - Mail</t>
    <phoneticPr fontId="27" type="noConversion"/>
  </si>
  <si>
    <t>Metware 개발</t>
    <phoneticPr fontId="27" type="noConversion"/>
  </si>
  <si>
    <t>Metware - Groupware(DR)</t>
    <phoneticPr fontId="27" type="noConversion"/>
  </si>
  <si>
    <t>Metware - Mail(DR)</t>
    <phoneticPr fontId="27" type="noConversion"/>
  </si>
  <si>
    <t>ProLiant DL580 G5</t>
    <phoneticPr fontId="27" type="noConversion"/>
  </si>
  <si>
    <t>ProLiant DL380 G6</t>
    <phoneticPr fontId="27" type="noConversion"/>
  </si>
  <si>
    <t>xSeries 235</t>
    <phoneticPr fontId="27" type="noConversion"/>
  </si>
  <si>
    <t>ProLiant DL380 G4</t>
    <phoneticPr fontId="27" type="noConversion"/>
  </si>
  <si>
    <t>ProLiant ML570 G4</t>
    <phoneticPr fontId="27" type="noConversion"/>
  </si>
  <si>
    <t>HP</t>
    <phoneticPr fontId="27" type="noConversion"/>
  </si>
  <si>
    <t>IBM</t>
    <phoneticPr fontId="27" type="noConversion"/>
  </si>
  <si>
    <t>Xeon E7330 2.40 GHz</t>
    <phoneticPr fontId="27" type="noConversion"/>
  </si>
  <si>
    <t>Xeon 2.4 GHz</t>
    <phoneticPr fontId="27" type="noConversion"/>
  </si>
  <si>
    <t>4GB</t>
    <phoneticPr fontId="27" type="noConversion"/>
  </si>
  <si>
    <t>4GB</t>
    <phoneticPr fontId="27" type="noConversion"/>
  </si>
  <si>
    <t>2GB</t>
    <phoneticPr fontId="27" type="noConversion"/>
  </si>
  <si>
    <t>3GB</t>
    <phoneticPr fontId="27" type="noConversion"/>
  </si>
  <si>
    <t>6GB</t>
    <phoneticPr fontId="27" type="noConversion"/>
  </si>
  <si>
    <t>RAID 5</t>
    <phoneticPr fontId="27" type="noConversion"/>
  </si>
  <si>
    <t>RAID 5</t>
    <phoneticPr fontId="27" type="noConversion"/>
  </si>
  <si>
    <t>CX3-10C</t>
    <phoneticPr fontId="27" type="noConversion"/>
  </si>
  <si>
    <t>Windows 2003 R2</t>
    <phoneticPr fontId="27" type="noConversion"/>
  </si>
  <si>
    <t>Windows 2003</t>
    <phoneticPr fontId="27" type="noConversion"/>
  </si>
  <si>
    <t>Standard</t>
    <phoneticPr fontId="27" type="noConversion"/>
  </si>
  <si>
    <t>Standard KN</t>
    <phoneticPr fontId="27" type="noConversion"/>
  </si>
  <si>
    <t>SP2</t>
    <phoneticPr fontId="27" type="noConversion"/>
  </si>
  <si>
    <t>KOR</t>
    <phoneticPr fontId="27" type="noConversion"/>
  </si>
  <si>
    <t>No.</t>
    <phoneticPr fontId="27" type="noConversion"/>
  </si>
  <si>
    <t>구분</t>
    <phoneticPr fontId="27" type="noConversion"/>
  </si>
  <si>
    <t>시스템</t>
    <phoneticPr fontId="27" type="noConversion"/>
  </si>
  <si>
    <t>결재연동</t>
    <phoneticPr fontId="27" type="noConversion"/>
  </si>
  <si>
    <t>결재 및 사진 연동</t>
    <phoneticPr fontId="27" type="noConversion"/>
  </si>
  <si>
    <t>결재연동</t>
    <phoneticPr fontId="27" type="noConversion"/>
  </si>
  <si>
    <t>조직도연동 및 사용자 인증</t>
    <phoneticPr fontId="27" type="noConversion"/>
  </si>
  <si>
    <t>SMS 발송</t>
    <phoneticPr fontId="27" type="noConversion"/>
  </si>
  <si>
    <t>메신저</t>
    <phoneticPr fontId="27" type="noConversion"/>
  </si>
  <si>
    <t>형상연계</t>
    <phoneticPr fontId="27" type="noConversion"/>
  </si>
  <si>
    <t>인터페이스</t>
    <phoneticPr fontId="27" type="noConversion"/>
  </si>
  <si>
    <t>NAS 시스템 : 재무회계관리시스템</t>
    <phoneticPr fontId="27" type="noConversion"/>
  </si>
  <si>
    <t>인사시스템: 메트라이프 내근 인사관리시스템</t>
    <phoneticPr fontId="27" type="noConversion"/>
  </si>
  <si>
    <t>ITSM: IT개발 및 서비스 관리 시스템</t>
    <phoneticPr fontId="27" type="noConversion"/>
  </si>
  <si>
    <t>자료반출시스템: DRM 및 DLP 관리시스템</t>
    <phoneticPr fontId="27" type="noConversion"/>
  </si>
  <si>
    <t>IM(계정관리시스템) : 시스템계정 관리 시스템</t>
    <phoneticPr fontId="27" type="noConversion"/>
  </si>
  <si>
    <t>METSYS (보험계약관리시스템)</t>
    <phoneticPr fontId="27" type="noConversion"/>
  </si>
  <si>
    <t>LDAP : 사용자계정 관리 및 인증 시스템</t>
    <phoneticPr fontId="27" type="noConversion"/>
  </si>
  <si>
    <t>SMS 시스템 : SMS 발송 시스템</t>
    <phoneticPr fontId="27" type="noConversion"/>
  </si>
  <si>
    <t>NateOn Biz</t>
    <phoneticPr fontId="27" type="noConversion"/>
  </si>
  <si>
    <t>형상관리시스템</t>
    <phoneticPr fontId="27" type="noConversion"/>
  </si>
  <si>
    <t>EAI : 통합인터페이스관리시스템</t>
    <phoneticPr fontId="27" type="noConversion"/>
  </si>
  <si>
    <t>No.</t>
    <phoneticPr fontId="68" type="noConversion"/>
  </si>
  <si>
    <t>구분</t>
    <phoneticPr fontId="68" type="noConversion"/>
  </si>
  <si>
    <t>비고</t>
    <phoneticPr fontId="68" type="noConversion"/>
  </si>
  <si>
    <t>기능</t>
    <phoneticPr fontId="68" type="noConversion"/>
  </si>
  <si>
    <t>합계</t>
    <phoneticPr fontId="68" type="noConversion"/>
  </si>
  <si>
    <t>양식 수</t>
    <phoneticPr fontId="68" type="noConversion"/>
  </si>
  <si>
    <t>개당 MD</t>
    <phoneticPr fontId="68" type="noConversion"/>
  </si>
  <si>
    <t>일반</t>
    <phoneticPr fontId="68" type="noConversion"/>
  </si>
  <si>
    <t>연계</t>
    <phoneticPr fontId="27" type="noConversion"/>
  </si>
  <si>
    <t>구분</t>
    <phoneticPr fontId="68" type="noConversion"/>
  </si>
  <si>
    <t>PM</t>
    <phoneticPr fontId="68" type="noConversion"/>
  </si>
  <si>
    <t>디자인</t>
    <phoneticPr fontId="68" type="noConversion"/>
  </si>
  <si>
    <t>조직도</t>
    <phoneticPr fontId="68" type="noConversion"/>
  </si>
  <si>
    <t>포탈</t>
    <phoneticPr fontId="68" type="noConversion"/>
  </si>
  <si>
    <t>메일</t>
    <phoneticPr fontId="68" type="noConversion"/>
  </si>
  <si>
    <t>결재</t>
    <phoneticPr fontId="68" type="noConversion"/>
  </si>
  <si>
    <t>프로세스</t>
    <phoneticPr fontId="68" type="noConversion"/>
  </si>
  <si>
    <t>양식</t>
    <phoneticPr fontId="68" type="noConversion"/>
  </si>
  <si>
    <t>SI</t>
    <phoneticPr fontId="68" type="noConversion"/>
  </si>
  <si>
    <t>Add-In</t>
    <phoneticPr fontId="68" type="noConversion"/>
  </si>
  <si>
    <t>이관</t>
    <phoneticPr fontId="68" type="noConversion"/>
  </si>
  <si>
    <t>e-Accounting</t>
    <phoneticPr fontId="27" type="noConversion"/>
  </si>
  <si>
    <t>3rd Party</t>
    <phoneticPr fontId="68" type="noConversion"/>
  </si>
  <si>
    <t>메일</t>
    <phoneticPr fontId="27" type="noConversion"/>
  </si>
  <si>
    <t>결재</t>
    <phoneticPr fontId="27" type="noConversion"/>
  </si>
  <si>
    <t>인프라</t>
    <phoneticPr fontId="68" type="noConversion"/>
  </si>
  <si>
    <t>포탈</t>
    <phoneticPr fontId="27" type="noConversion"/>
  </si>
  <si>
    <r>
      <rPr>
        <sz val="11"/>
        <color theme="1"/>
        <rFont val="맑은 고딕"/>
        <family val="2"/>
        <charset val="129"/>
        <scheme val="minor"/>
      </rPr>
      <t>-</t>
    </r>
    <phoneticPr fontId="27" type="noConversion"/>
  </si>
  <si>
    <t>메신저</t>
    <phoneticPr fontId="68" type="noConversion"/>
  </si>
  <si>
    <t>모바일 일반</t>
    <phoneticPr fontId="27" type="noConversion"/>
  </si>
  <si>
    <t>모바일 복잡</t>
    <phoneticPr fontId="27" type="noConversion"/>
  </si>
  <si>
    <t>- PC 에도 있는 복잡</t>
    <phoneticPr fontId="27" type="noConversion"/>
  </si>
  <si>
    <r>
      <rPr>
        <sz val="11"/>
        <color theme="1"/>
        <rFont val="맑은 고딕"/>
        <family val="2"/>
        <charset val="129"/>
        <scheme val="minor"/>
      </rPr>
      <t>- PC 에 있는 연동</t>
    </r>
    <phoneticPr fontId="27" type="noConversion"/>
  </si>
  <si>
    <t>모바일 연동</t>
    <phoneticPr fontId="27" type="noConversion"/>
  </si>
  <si>
    <t>모바일</t>
    <phoneticPr fontId="68" type="noConversion"/>
  </si>
  <si>
    <t>모바일 오피스</t>
    <phoneticPr fontId="27" type="noConversion"/>
  </si>
  <si>
    <t>모바일 기안</t>
    <phoneticPr fontId="27" type="noConversion"/>
  </si>
  <si>
    <t>휴가관리</t>
    <phoneticPr fontId="27" type="noConversion"/>
  </si>
  <si>
    <t>- As-Is 내용 기재
- 이관 방식 기재 (eml추출 역할 기재)</t>
    <phoneticPr fontId="27" type="noConversion"/>
  </si>
  <si>
    <t>- As-Is 내용 기재
- As-Is 고객 추출 혹은 당사 수행 등으로 범위 기재</t>
    <phoneticPr fontId="27" type="noConversion"/>
  </si>
  <si>
    <r>
      <t>*</t>
    </r>
    <r>
      <rPr>
        <sz val="11"/>
        <color theme="1"/>
        <rFont val="맑은 고딕"/>
        <family val="2"/>
        <charset val="129"/>
        <scheme val="minor"/>
      </rPr>
      <t xml:space="preserve"> 파일명에 MP 일 경우 (M), CP 일 경우 (C) 표기</t>
    </r>
    <phoneticPr fontId="27" type="noConversion"/>
  </si>
  <si>
    <t>R&amp;D (M/M)</t>
    <phoneticPr fontId="27" type="noConversion"/>
  </si>
  <si>
    <t>* R&amp;D 공수 조건 : 제품화 대상일 경우 (CP - 연구소장, MP - 솔루션 사업본부장) 확인 후 반영</t>
    <phoneticPr fontId="27" type="noConversion"/>
  </si>
  <si>
    <t>* Risk 대응 (M/M) : 비고에 항목 참조하여 작성 (사용자 수가 많고 요건이 없을 경우 Risk 대응 (M/M) 에 추가</t>
    <phoneticPr fontId="27" type="noConversion"/>
  </si>
  <si>
    <t>- 금융권 보안 요건 : 프로젝트 설치 부터 주기적 보안적합성 검사 및 조치 등 수준에 따라
 적정 MM 별도 산정</t>
    <phoneticPr fontId="27" type="noConversion"/>
  </si>
  <si>
    <t>문서유통</t>
    <phoneticPr fontId="27" type="noConversion"/>
  </si>
  <si>
    <t>기록물관리</t>
    <phoneticPr fontId="27" type="noConversion"/>
  </si>
  <si>
    <t>MP MM</t>
    <phoneticPr fontId="68" type="noConversion"/>
  </si>
  <si>
    <t>CP MM</t>
    <phoneticPr fontId="27" type="noConversion"/>
  </si>
  <si>
    <t>MP MM</t>
    <phoneticPr fontId="68" type="noConversion"/>
  </si>
  <si>
    <t>CP MM</t>
    <phoneticPr fontId="27" type="noConversion"/>
  </si>
  <si>
    <t>* 협업포탈 및 근태관리와 같이 신규 모듈에 대해 3~4회 수행시까지는 R&amp;D 외 제품반영 수행 공수 산정</t>
    <phoneticPr fontId="27" type="noConversion"/>
  </si>
  <si>
    <t>- 3rd Party 당 0.5MM 지원 공수 산정
- 항목이 3개 이상 초과할때 Risk 공수 2개당 0.5MM 추가
- 6개일 경우 : (5*0.5) + (2*0.5) = 수행 공수 2.5 + Risk 공수 1</t>
    <phoneticPr fontId="27" type="noConversion"/>
  </si>
  <si>
    <t>* R&amp;D 는 견적에 제외, Risk 공수는 견적에 포함</t>
    <phoneticPr fontId="27" type="noConversion"/>
  </si>
  <si>
    <t>- 특이사항 여부 기술</t>
    <phoneticPr fontId="68" type="noConversion"/>
  </si>
  <si>
    <t>비고</t>
    <phoneticPr fontId="27" type="noConversion"/>
  </si>
  <si>
    <t>기준</t>
    <phoneticPr fontId="68" type="noConversion"/>
  </si>
  <si>
    <t>- 디자인, 퍼블리싱</t>
    <phoneticPr fontId="27" type="noConversion"/>
  </si>
  <si>
    <t>- 제안 모듈명 기재
- 커스터마이징 요건 상세 기재
- SLO 요건 시 포탈 하위 항목 혹은 본 항목에 기재하되 몇 개 시스템 대상인지 기재
'- 커스텀요구 없을때 업무협의, 설치테스트, 기본정보 세팅, 웹파트 구성 : 13 M/D
   : 포탈, 게시, 주소록, 자원예약, 커뮤니티, 일정관리, 전자설문 기본기능
   : 문서관리 기본, 웹하드, 모바일 웹구성 및 세팅, 협업스페이스
- 다국어 추가 시 (고객사 제공 전제) : 추가 언어당 3 M/D</t>
    <phoneticPr fontId="27" type="noConversion"/>
  </si>
  <si>
    <t>수행공수 (M/M)</t>
    <phoneticPr fontId="27" type="noConversion"/>
  </si>
  <si>
    <t>웹메일</t>
    <phoneticPr fontId="27" type="noConversion"/>
  </si>
  <si>
    <t>- 업무협의 (프로세스, 연동, 화면(양식)) : 4 M/D
- 설계서 작성 (화면, 양식, 연동) : 3 M/D</t>
    <phoneticPr fontId="27" type="noConversion"/>
  </si>
  <si>
    <t>- 기본정보 세팅 (로컬/개발) 및 설치테스트 6 M/D
- 통합검색 연계 : 2 M/D</t>
    <phoneticPr fontId="27" type="noConversion"/>
  </si>
  <si>
    <t>이행</t>
    <phoneticPr fontId="68" type="noConversion"/>
  </si>
  <si>
    <t>안정화</t>
    <phoneticPr fontId="27" type="noConversion"/>
  </si>
  <si>
    <t>이음톡</t>
    <phoneticPr fontId="27" type="noConversion"/>
  </si>
  <si>
    <t>통합검색</t>
    <phoneticPr fontId="27" type="noConversion"/>
  </si>
  <si>
    <t>DRM</t>
    <phoneticPr fontId="27" type="noConversion"/>
  </si>
  <si>
    <t xml:space="preserve">- </t>
    <phoneticPr fontId="27" type="noConversion"/>
  </si>
  <si>
    <t>원문공개</t>
    <phoneticPr fontId="27" type="noConversion"/>
  </si>
  <si>
    <t>- 양식당 (HTML 제공조건) : 0.5 M/D</t>
  </si>
  <si>
    <t>- 양식당 (웹서비스, DB연결, SAP) : 2 M/D</t>
  </si>
  <si>
    <t>- 기본정보 세팅 (로컬/개발) 및 설치테스트</t>
    <phoneticPr fontId="27" type="noConversion"/>
  </si>
  <si>
    <t>- 프로세스 업무협의 및 설계서 작성 (화면, 양식, 연동)</t>
    <phoneticPr fontId="27" type="noConversion"/>
  </si>
  <si>
    <t># 구성협의 및 설치계획 수립
- CP 의 경우 Apach/Tomcat, Oracle, MariaDB, 리눅스 가 아닌 경우, 금융권의 경우
  =&gt; 기본 공수 0.5 외 추가 산정, 웹/WAS/DB 당 0.5MM 추가 =&gt; 최대 2MM
  =&gt; PostgreSQL 2MM 추가 (안정화시 제외)
- MP : AD PC join 된 통합인증일 경우 프로비져닝까지 포함되면 3rd Party로 1차 검토
  =&gt; 조직도 연동 R&amp;R 정리(당사 지원 공수 기본 0.5 외 추가 0.5), 
  =&gt; PC 대수가 적을 경우 가이드 제공 후 고객 작업(당사 지원 공수 기본 0.5 외 추가 0.5)
  =&gt; 당사가 진행해야 할 경우 인프라팀 협의 후 산정
  =&gt; M365 연동 및 신규일 경우 인프라 협의 필요
# 공통 체크리스트
  =&gt; OS, DB, WEB/WAS
  =&gt; 물리/가상화 여부 및 제품 : AWS, Azure, NCP 외
  =&gt; 망분리/망연계 여부
  =&gt; 단일/이중화 여부 및 방식 : Acitive-Active, Active-StandBy
  =&gt; 3rd Party : 에디터(WebWriter/DEXT), 문서뷰어(사이냅)
  =&gt; 연계 솔루션 여부 : 스팸, 메일스크린, IM, SSO, DRM 외
# 산정기준(포탈,결재,메신저,모바일,Add-In)
  =&gt; 인프라 구성 협의, 설치계획서 포함 (0.5 M/M)
       : 개발서버 (2 M/D), 운영서버 (5 M/D), 오픈지원 (3 M/D)
  =&gt; 이중화 : 0.75 M/M
- covaAI/3rd Party 등 포함 or 0.75M/M 이상일 경우 인프라 협의
- 주요 사항은 볼드 및 빨간색으로 표기</t>
    <phoneticPr fontId="27" type="noConversion"/>
  </si>
  <si>
    <t>- 단순 로고변경 공수 불필요
- 디자인 및 퍼블리싱 필요시 0.25 M/M 추가</t>
    <phoneticPr fontId="68" type="noConversion"/>
  </si>
  <si>
    <t>RISK (M/M)</t>
    <phoneticPr fontId="27" type="noConversion"/>
  </si>
  <si>
    <t>- HR 연동의 경우 대상 시스템 및 특이사항 기술(비인사 계정 등)
- 인사 시스템 대상이 1개일 경우 사용자 규모에 따라 0.5~1MM (1,000이하 or 이상)
- 2개 이상일 경우 0.5MM 추가</t>
    <phoneticPr fontId="68" type="noConversion"/>
  </si>
  <si>
    <t>근태관리
(주52시간)</t>
    <phoneticPr fontId="27" type="noConversion"/>
  </si>
  <si>
    <t>- 기본공수
   a. 휴가 : 1 M/M
   b. 근태 : 1.5 M/M + 0.5 M/M(세콤연계 시)
- 급여(보상)연계 추가
   a. 휴가 : 1 M/M
   b. 근태 : 1.5 M/M
- 수행 공수로만 1~1.5MM 산정하되 인원 규모가 크고 회사가 다법인일 경우 요건별로 공수 추가하고 Risk 공수 산정</t>
    <phoneticPr fontId="68" type="noConversion"/>
  </si>
  <si>
    <t>- 기본설치 0.2 M/M 산정</t>
    <phoneticPr fontId="27" type="noConversion"/>
  </si>
  <si>
    <t>* 3rd Party 마다 당사 지원 공수 0.2MM 반영 (마진은 영업대표 추가 요망)</t>
    <phoneticPr fontId="27" type="noConversion"/>
  </si>
  <si>
    <t>- 사업기간에 맞춰 PM공수 산정 (업무협의, 주간보고, 통테, 안정화, 기본3개월)
- 비상주를 기본으로 하되 사업본부, 영업대표와 협의하여 조정
- 상주 : 1개월 1M/M
- 비상주 : 1개월 0.5 M/M</t>
    <phoneticPr fontId="27" type="noConversion"/>
  </si>
  <si>
    <t>- 일반 양식 00종, 연동양식 00종
- 양식 수 기재, 연동 시스템 기재, 연동 방식 협의되면 관련 내용 기재
- 연동타입 : Http, SQL, SP, WebService, SOAP, JAVA, EAI
- 연동대상 : ERP, SAP 등
- 일반양식은 기본적으로 PM이 분석/설계/제작을 수행하나 과업범위에 따라 추가 공수 산정
# 일반양식 
- 양식당 0.15 M/D
# 연동양식
- 양식당 (HTML 제공조건) : 0.5 M/D
- 양식당 (웹서비스, DB연결, SAP) : 2 M/D</t>
    <phoneticPr fontId="27" type="noConversion"/>
  </si>
  <si>
    <t>기본 수행에 1MM 산정, 추가 커스터마이징 별도 산정</t>
    <phoneticPr fontId="27" type="noConversion"/>
  </si>
  <si>
    <t>기본 수행에 0.5MM 산정, 추가 커스터마이징 별도 산정</t>
    <phoneticPr fontId="27" type="noConversion"/>
  </si>
  <si>
    <t>- 기본설치 0.1 M/M 산정</t>
    <phoneticPr fontId="27" type="noConversion"/>
  </si>
  <si>
    <t>- 운영 세팅 및 설치테스트, 개발-&gt;운영적용
- 통합테스트, 오픈준비, 매뉴얼, 산출물 작성, 교육
- 기간에 따라 상이 (2주 2명 시)
# 1,000명 이하 2주 산정</t>
    <phoneticPr fontId="68" type="noConversion"/>
  </si>
  <si>
    <t>- 기간에 따라 상이 (2주 2명 시)
# 1,000명 이하 2주 산정</t>
    <phoneticPr fontId="27" type="noConversion"/>
  </si>
  <si>
    <t>SSO</t>
    <phoneticPr fontId="27" type="noConversion"/>
  </si>
  <si>
    <t>* 주의사항 : 아래 공수는 실제 수행공수로, 협의가 지연되는 경우를 대비해 실제수행기간은 예상공수 + 1달 필요</t>
    <phoneticPr fontId="79" type="noConversion"/>
  </si>
  <si>
    <r>
      <t xml:space="preserve">* </t>
    </r>
    <r>
      <rPr>
        <b/>
        <sz val="10"/>
        <color rgb="FFFF0000"/>
        <rFont val="맑은 고딕"/>
        <family val="3"/>
        <charset val="129"/>
        <scheme val="minor"/>
      </rPr>
      <t>기본공수는 1MM</t>
    </r>
    <r>
      <rPr>
        <sz val="10"/>
        <color theme="1"/>
        <rFont val="맑은 고딕"/>
        <family val="3"/>
        <charset val="129"/>
        <scheme val="minor"/>
      </rPr>
      <t xml:space="preserve"> 이며, 노란색 영역 O/X, 개수 수정시 공수 자동산정 됩니다.</t>
    </r>
    <phoneticPr fontId="79" type="noConversion"/>
  </si>
  <si>
    <t>No</t>
    <phoneticPr fontId="79" type="noConversion"/>
  </si>
  <si>
    <t>제품</t>
    <phoneticPr fontId="79" type="noConversion"/>
  </si>
  <si>
    <t>라이선스 포함 조건</t>
    <phoneticPr fontId="79" type="noConversion"/>
  </si>
  <si>
    <t>예상공수</t>
    <phoneticPr fontId="79" type="noConversion"/>
  </si>
  <si>
    <t>분류</t>
    <phoneticPr fontId="79" type="noConversion"/>
  </si>
  <si>
    <t>기본공수</t>
    <phoneticPr fontId="79" type="noConversion"/>
  </si>
  <si>
    <t>[추가공수] 양식/증빙유형/기타</t>
    <phoneticPr fontId="79" type="noConversion"/>
  </si>
  <si>
    <t>[추가공수] 연동</t>
    <phoneticPr fontId="79" type="noConversion"/>
  </si>
  <si>
    <t>사용자수</t>
    <phoneticPr fontId="79" type="noConversion"/>
  </si>
  <si>
    <t>계열사수</t>
    <phoneticPr fontId="79" type="noConversion"/>
  </si>
  <si>
    <t>기본정보</t>
    <phoneticPr fontId="79" type="noConversion"/>
  </si>
  <si>
    <t>양식</t>
    <phoneticPr fontId="79" type="noConversion"/>
  </si>
  <si>
    <t>증빙유형</t>
    <phoneticPr fontId="79" type="noConversion"/>
  </si>
  <si>
    <t>항목</t>
    <phoneticPr fontId="79" type="noConversion"/>
  </si>
  <si>
    <t>기본양식2종 
(일반경비/거래처)</t>
    <phoneticPr fontId="79" type="noConversion"/>
  </si>
  <si>
    <t>기타증빙 (기본)</t>
    <phoneticPr fontId="79" type="noConversion"/>
  </si>
  <si>
    <t>일반경비 /
거래처비용</t>
    <phoneticPr fontId="79" type="noConversion"/>
  </si>
  <si>
    <t>출장경비/접대비/기타</t>
    <phoneticPr fontId="79" type="noConversion"/>
  </si>
  <si>
    <t xml:space="preserve">법인카드
(연동선택) </t>
    <phoneticPr fontId="79" type="noConversion"/>
  </si>
  <si>
    <t>세금계산서
(연동선택)</t>
    <phoneticPr fontId="79" type="noConversion"/>
  </si>
  <si>
    <t>종이
세금계산서</t>
    <phoneticPr fontId="79" type="noConversion"/>
  </si>
  <si>
    <t>현금영수증
(연동선택)</t>
    <phoneticPr fontId="79" type="noConversion"/>
  </si>
  <si>
    <t>기타(개인카드/지로 등)</t>
    <phoneticPr fontId="79" type="noConversion"/>
  </si>
  <si>
    <t>계정과목</t>
  </si>
  <si>
    <t>거래처
(거래처별계좌정보)</t>
    <phoneticPr fontId="79" type="noConversion"/>
  </si>
  <si>
    <t>코스트센터
(사용자별
코스트센터)</t>
    <phoneticPr fontId="79" type="noConversion"/>
  </si>
  <si>
    <t>법인카드 목록</t>
  </si>
  <si>
    <t>T-MAP</t>
    <phoneticPr fontId="79" type="noConversion"/>
  </si>
  <si>
    <t>유류비</t>
    <phoneticPr fontId="79" type="noConversion"/>
  </si>
  <si>
    <t>I/O코드</t>
    <phoneticPr fontId="79" type="noConversion"/>
  </si>
  <si>
    <t>환율</t>
    <phoneticPr fontId="79" type="noConversion"/>
  </si>
  <si>
    <t>관리항목</t>
    <phoneticPr fontId="79" type="noConversion"/>
  </si>
  <si>
    <t>예산체크
연동</t>
    <phoneticPr fontId="79" type="noConversion"/>
  </si>
  <si>
    <t>전표연동</t>
    <phoneticPr fontId="79" type="noConversion"/>
  </si>
  <si>
    <t>CP /
MP</t>
    <phoneticPr fontId="79" type="noConversion"/>
  </si>
  <si>
    <t>500명
이하</t>
    <phoneticPr fontId="79" type="noConversion"/>
  </si>
  <si>
    <t>엑셀
Import</t>
    <phoneticPr fontId="79" type="noConversion"/>
  </si>
  <si>
    <t>일반경비신청서
거래처비용정산서
2종</t>
    <phoneticPr fontId="79" type="noConversion"/>
  </si>
  <si>
    <t>기타증빙
1종</t>
    <phoneticPr fontId="79" type="noConversion"/>
  </si>
  <si>
    <t>공수</t>
    <phoneticPr fontId="79" type="noConversion"/>
  </si>
  <si>
    <t>개수</t>
    <phoneticPr fontId="79" type="noConversion"/>
  </si>
  <si>
    <t>-</t>
    <phoneticPr fontId="79" type="noConversion"/>
  </si>
  <si>
    <t>사용여부</t>
    <phoneticPr fontId="79" type="noConversion"/>
  </si>
  <si>
    <t>O</t>
    <phoneticPr fontId="79" type="noConversion"/>
  </si>
  <si>
    <t>X</t>
    <phoneticPr fontId="79" type="noConversion"/>
  </si>
  <si>
    <t>연동여부</t>
    <phoneticPr fontId="79" type="noConversion"/>
  </si>
  <si>
    <t>합계공수</t>
    <phoneticPr fontId="79" type="noConversion"/>
  </si>
  <si>
    <t>라이선스 포함 조건 설명</t>
    <phoneticPr fontId="79" type="noConversion"/>
  </si>
  <si>
    <t>기안시 필요한 계정과목, 표준적요, 관리항목, 거래처정보, 코스트센터정보 등 엑셀로 import하는 조건. ERP 연동시 추가공수 발생</t>
    <phoneticPr fontId="79" type="noConversion"/>
  </si>
  <si>
    <t>일반경비신청서, 거래처비용정산서 2종 제공. 양식 추가시 추가공수 발생</t>
    <phoneticPr fontId="79" type="noConversion"/>
  </si>
  <si>
    <t xml:space="preserve">기본은 기타증빙만 제공. 이외 증빙유형 추가시 추가공수 발생
일반경비신청서 - 기타증빙 
거래처비용정산서 - 기타증빙 </t>
    <phoneticPr fontId="79" type="noConversion"/>
  </si>
  <si>
    <t>추가공수 설명</t>
    <phoneticPr fontId="79" type="noConversion"/>
  </si>
  <si>
    <t>* 추가 공수는 고객과 협의 후 결정 됨.</t>
    <phoneticPr fontId="79" type="noConversion"/>
  </si>
  <si>
    <t>양식추가</t>
  </si>
  <si>
    <t>일반경비신청서/거래처비용정산서와 같은 구조의 양식 추가시 추가공수 0.5 발생
그외 양식은 추가공수 1 발생
필요한 양식 개수 설정시 공수 자동계산</t>
    <phoneticPr fontId="79" type="noConversion"/>
  </si>
  <si>
    <t>증빙유형 - 사용여부
법인카드/세금계산서 
(중간테이블)</t>
  </si>
  <si>
    <t xml:space="preserve">법인카드 증빙 사용여부(O)시 카드목록:엑셀등록, 카드승인/매입내역: 중간테이블에 넣어주는 조건
세금계산서 증빙 사용(O)시 중간테이블에 넣어주는 조건 </t>
    <phoneticPr fontId="79" type="noConversion"/>
  </si>
  <si>
    <t>증빙유형 - 연동여부
법인카드/세금계산서 
(VAN사연동)</t>
  </si>
  <si>
    <t>법인카드 연동사용(O)시 카드목록 및 카드승인내역 VAN사 연동
세금계산서 연동사용(O)시 세금계산서 매입내역 VAN사 연동</t>
    <phoneticPr fontId="79" type="noConversion"/>
  </si>
  <si>
    <t>증빙유형
종이세금계산서</t>
  </si>
  <si>
    <t>종이세금계산서는 연동X
사용여부(O)시 계산서유형, 공급받는자 정보 등 INSERT필요</t>
    <phoneticPr fontId="79" type="noConversion"/>
  </si>
  <si>
    <t>증빙유형
현금영수증
(VAN사연동)</t>
  </si>
  <si>
    <t>현금영수증은 중간테이블 X
연동사용(O)시 현금영수증내역 VAN사 연동</t>
    <phoneticPr fontId="79" type="noConversion"/>
  </si>
  <si>
    <t>연동</t>
  </si>
  <si>
    <t>계정과목 : ERP와 연동
거래처(거래처별계좌정보) : ERP와 연동
코스트센터(사용자별코스트센터) : ERP와 연동
법인카드 목록 : ERP와 연동
T-MAP : T-MAP KM계산 관리항목 사용
유류비 : 오피넷 등 연동
I/O코드 : 기초코드 ERP와 연동
환율 : ERP와 연동 
관리항목 : ERP와 연동
예산체크연동 : ERP와 연동
전표연동 : ERP와 연동</t>
    <phoneticPr fontId="79" type="noConversion"/>
  </si>
  <si>
    <t/>
  </si>
  <si>
    <t>커스텀 추가 요건</t>
    <phoneticPr fontId="79" type="noConversion"/>
  </si>
  <si>
    <t>* 커스텀 추가 공수는 고객과 협의 후 결정 됨.</t>
    <phoneticPr fontId="79" type="noConversion"/>
  </si>
  <si>
    <t>예산</t>
    <phoneticPr fontId="79" type="noConversion"/>
  </si>
  <si>
    <t>감사규칙</t>
    <phoneticPr fontId="79" type="noConversion"/>
  </si>
  <si>
    <t>유가관리</t>
    <phoneticPr fontId="79" type="noConversion"/>
  </si>
  <si>
    <t>출장</t>
    <phoneticPr fontId="79" type="noConversion"/>
  </si>
  <si>
    <t>모바일 (OCR)</t>
    <phoneticPr fontId="79" type="noConversion"/>
  </si>
  <si>
    <t>No.</t>
    <phoneticPr fontId="79" type="noConversion"/>
  </si>
  <si>
    <t>합계</t>
    <phoneticPr fontId="79" type="noConversion"/>
  </si>
  <si>
    <t>비고</t>
    <phoneticPr fontId="79" type="noConversion"/>
  </si>
  <si>
    <t>사용자 수</t>
    <phoneticPr fontId="79" type="noConversion"/>
  </si>
  <si>
    <t>계열사 수</t>
    <phoneticPr fontId="79" type="noConversion"/>
  </si>
  <si>
    <t>세콤/캡스 타각</t>
    <phoneticPr fontId="79" type="noConversion"/>
  </si>
  <si>
    <t>모바일/PC 타각</t>
    <phoneticPr fontId="79" type="noConversion"/>
  </si>
  <si>
    <t>정산</t>
    <phoneticPr fontId="79" type="noConversion"/>
  </si>
  <si>
    <r>
      <t xml:space="preserve">연차발생
</t>
    </r>
    <r>
      <rPr>
        <b/>
        <sz val="10"/>
        <color theme="1"/>
        <rFont val="맑은 고딕"/>
        <family val="3"/>
        <charset val="129"/>
        <scheme val="minor"/>
      </rPr>
      <t>(1.1/입사일 기준)</t>
    </r>
    <phoneticPr fontId="79" type="noConversion"/>
  </si>
  <si>
    <t>휴가이관</t>
    <phoneticPr fontId="79" type="noConversion"/>
  </si>
  <si>
    <t>결재연동</t>
    <phoneticPr fontId="79" type="noConversion"/>
  </si>
  <si>
    <t>근태/휴가 설정</t>
    <phoneticPr fontId="79" type="noConversion"/>
  </si>
  <si>
    <t>근태</t>
    <phoneticPr fontId="79" type="noConversion"/>
  </si>
  <si>
    <t>100명 이하</t>
    <phoneticPr fontId="79" type="noConversion"/>
  </si>
  <si>
    <t>1개</t>
    <phoneticPr fontId="79" type="noConversion"/>
  </si>
  <si>
    <t>변경X</t>
    <phoneticPr fontId="79" type="noConversion"/>
  </si>
  <si>
    <t>휴가</t>
    <phoneticPr fontId="79" type="noConversion"/>
  </si>
  <si>
    <t>세콤이나 캡스의 타각 데이터를 연동하기 위한 솔루션 기본 연동 테이블이 있음. 고객이 해당 테이블에 타각 정보를 넣어주는 조건 임. 연동 시에는 추가 커스텀 사항 임.</t>
    <phoneticPr fontId="79" type="noConversion"/>
  </si>
  <si>
    <t>연차발생</t>
    <phoneticPr fontId="79" type="noConversion"/>
  </si>
  <si>
    <t>연차발생 기준일이 1월1일, 입사일 기준인 조건 임. 고객에 따라 연차발생 기준일을 변경해 달라는 곳이 있음. 이럴 경우 추가 커스텀 사항 임.</t>
    <phoneticPr fontId="79" type="noConversion"/>
  </si>
  <si>
    <t>솔루션에서 보유한 근태 및 휴가 신청 관련 결재 양식 기준임. 양식이 추가되거나 변경되는 경우에는 추가 커스텀 사항 임.</t>
    <phoneticPr fontId="79" type="noConversion"/>
  </si>
  <si>
    <t>당사가 제공하는 표준양식에 맞춰 데이터를 정리하여 제공하는 경우이고 양식변경이나 형태가 많이 다른 경우는 커스텀 사항임.</t>
    <phoneticPr fontId="79" type="noConversion"/>
  </si>
  <si>
    <t>타각</t>
    <phoneticPr fontId="79" type="noConversion"/>
  </si>
  <si>
    <t>보상휴가</t>
    <phoneticPr fontId="79" type="noConversion"/>
  </si>
  <si>
    <t>근태관련 양식</t>
    <phoneticPr fontId="79" type="noConversion"/>
  </si>
  <si>
    <t>근무유형</t>
    <phoneticPr fontId="79" type="noConversion"/>
  </si>
  <si>
    <t>근무생성</t>
    <phoneticPr fontId="79" type="noConversion"/>
  </si>
  <si>
    <t>안정화</t>
    <phoneticPr fontId="79" type="noConversion"/>
  </si>
  <si>
    <t>* 정산 연동 및 커스텀 요건 분량에 따라 추가적인 안정화 공수를 반드시 산정 필요함.</t>
    <phoneticPr fontId="79" type="noConversion"/>
  </si>
  <si>
    <t>요건분석</t>
    <phoneticPr fontId="79" type="noConversion"/>
  </si>
  <si>
    <t xml:space="preserve">* 기존에 근태/휴가를 사용하거나 제품 기본외의 근태/휴가의 기능을 원할 경우 근태/휴가 특성상 상당한 공수가 요구됨.(초기 요건협의에서 판별 필요) </t>
    <phoneticPr fontId="79" type="noConversion"/>
  </si>
  <si>
    <t>계열사 수
(조직 연동)</t>
    <phoneticPr fontId="79" type="noConversion"/>
  </si>
  <si>
    <t>웹메일</t>
    <phoneticPr fontId="79" type="noConversion"/>
  </si>
  <si>
    <t>모바일 앱</t>
    <phoneticPr fontId="79" type="noConversion"/>
  </si>
  <si>
    <t>이음톡</t>
    <phoneticPr fontId="79" type="noConversion"/>
  </si>
  <si>
    <t>Teams
Add-in</t>
    <phoneticPr fontId="79" type="noConversion"/>
  </si>
  <si>
    <t>Outlook
Add-in</t>
    <phoneticPr fontId="79" type="noConversion"/>
  </si>
  <si>
    <t>조직연동</t>
    <phoneticPr fontId="79" type="noConversion"/>
  </si>
  <si>
    <t>CP</t>
    <phoneticPr fontId="79" type="noConversion"/>
  </si>
  <si>
    <t>500명 이하</t>
    <phoneticPr fontId="79" type="noConversion"/>
  </si>
  <si>
    <t>로고변경</t>
    <phoneticPr fontId="79" type="noConversion"/>
  </si>
  <si>
    <t>MP</t>
    <phoneticPr fontId="79" type="noConversion"/>
  </si>
  <si>
    <t>CP +
MP(On-Premise)</t>
    <phoneticPr fontId="79" type="noConversion"/>
  </si>
  <si>
    <t>CP + MP(M365)</t>
    <phoneticPr fontId="79" type="noConversion"/>
  </si>
  <si>
    <t>CP + MP(hybrid)</t>
    <phoneticPr fontId="79" type="noConversion"/>
  </si>
  <si>
    <t>기본 공수 산정</t>
    <phoneticPr fontId="27" type="noConversion"/>
  </si>
  <si>
    <t>게시판</t>
    <phoneticPr fontId="27" type="noConversion"/>
  </si>
  <si>
    <r>
      <t>4. 기타 : cssEE-C</t>
    </r>
    <r>
      <rPr>
        <sz val="11"/>
        <color theme="1"/>
        <rFont val="맑은 고딕"/>
        <family val="2"/>
        <charset val="129"/>
        <scheme val="minor"/>
      </rPr>
      <t>P</t>
    </r>
    <phoneticPr fontId="68" type="noConversion"/>
  </si>
  <si>
    <t>프로젝트 기간에 맞춰 산정
* 비상주시 50% 차감 가능</t>
    <phoneticPr fontId="27" type="noConversion"/>
  </si>
  <si>
    <t>- 기본설치 0.2 M/M 산정  (CP Exchange 인 경우 0.75 MM)</t>
    <phoneticPr fontId="27" type="noConversion"/>
  </si>
  <si>
    <t>Teams Add-in</t>
    <phoneticPr fontId="27" type="noConversion"/>
  </si>
  <si>
    <t>공수 산정 요청서</t>
    <phoneticPr fontId="68" type="noConversion"/>
  </si>
  <si>
    <t>* 아래의 노란색 부분에 내용을 작성하시기 바랍니다.</t>
    <phoneticPr fontId="27" type="noConversion"/>
  </si>
  <si>
    <r>
      <rPr>
        <b/>
        <sz val="12"/>
        <color theme="1"/>
        <rFont val="맑은 고딕"/>
        <family val="3"/>
        <charset val="129"/>
      </rPr>
      <t xml:space="preserve">■ </t>
    </r>
    <r>
      <rPr>
        <b/>
        <sz val="12"/>
        <color theme="1"/>
        <rFont val="맑은 고딕"/>
        <family val="3"/>
        <charset val="129"/>
        <scheme val="minor"/>
      </rPr>
      <t>공수산정 요청 개요</t>
    </r>
    <phoneticPr fontId="68" type="noConversion"/>
  </si>
  <si>
    <t xml:space="preserve">- 요청자 : </t>
    <phoneticPr fontId="68" type="noConversion"/>
  </si>
  <si>
    <t>기업영업 곽준규 부장</t>
    <phoneticPr fontId="68" type="noConversion"/>
  </si>
  <si>
    <t>- 공수산정 요청 일자 :</t>
    <phoneticPr fontId="27" type="noConversion"/>
  </si>
  <si>
    <t xml:space="preserve">- 공수산정 기한 : </t>
    <phoneticPr fontId="68" type="noConversion"/>
  </si>
  <si>
    <t>ASAP</t>
    <phoneticPr fontId="68" type="noConversion"/>
  </si>
  <si>
    <r>
      <rPr>
        <b/>
        <sz val="12"/>
        <color theme="1"/>
        <rFont val="맑은 고딕"/>
        <family val="3"/>
        <charset val="129"/>
      </rPr>
      <t xml:space="preserve">■ </t>
    </r>
    <r>
      <rPr>
        <b/>
        <sz val="12"/>
        <color theme="1"/>
        <rFont val="맑은 고딕"/>
        <family val="3"/>
        <charset val="129"/>
        <scheme val="minor"/>
      </rPr>
      <t>Project 개요</t>
    </r>
    <phoneticPr fontId="68" type="noConversion"/>
  </si>
  <si>
    <t xml:space="preserve">- 고객사명 : </t>
    <phoneticPr fontId="68" type="noConversion"/>
  </si>
  <si>
    <t>유티아이(베트남 법인)</t>
    <phoneticPr fontId="68" type="noConversion"/>
  </si>
  <si>
    <t xml:space="preserve">- Project 명 : </t>
    <phoneticPr fontId="68" type="noConversion"/>
  </si>
  <si>
    <t>유티아이 베트남 법인 그룹웨어 신규 구축</t>
    <phoneticPr fontId="68" type="noConversion"/>
  </si>
  <si>
    <t xml:space="preserve">- Project 예상기간(개월) : </t>
    <phoneticPr fontId="68" type="noConversion"/>
  </si>
  <si>
    <t>. 개략적인 Project 기간을 개월로 작성하시기 바랍니다.</t>
    <phoneticPr fontId="27" type="noConversion"/>
  </si>
  <si>
    <t xml:space="preserve">- Project 시작 예상 시기 : </t>
    <phoneticPr fontId="27" type="noConversion"/>
  </si>
  <si>
    <t>2026년</t>
    <phoneticPr fontId="68" type="noConversion"/>
  </si>
  <si>
    <t>. 개략적인 Project 시작 시기를 작성하시기 바랍니다.</t>
    <phoneticPr fontId="27" type="noConversion"/>
  </si>
  <si>
    <t xml:space="preserve">- 사용자 수 : </t>
    <phoneticPr fontId="27" type="noConversion"/>
  </si>
  <si>
    <t>. 시스템을 사용할 사용자 수를 작성하시기 바랍니다.</t>
    <phoneticPr fontId="27" type="noConversion"/>
  </si>
  <si>
    <t xml:space="preserve">- Project 예산 (고객 예산) : </t>
    <phoneticPr fontId="27" type="noConversion"/>
  </si>
  <si>
    <t>2억</t>
    <phoneticPr fontId="68" type="noConversion"/>
  </si>
  <si>
    <t>. 정확하지 않더라도, 개략적인 Project 예산을 작성하시기 바랍니다. (개략적인 금액도 파악이 안되면… 느낌이라도 작성하시기 바랍니다.)</t>
    <phoneticPr fontId="27" type="noConversion"/>
  </si>
  <si>
    <t xml:space="preserve">- 영업대표의 Target 가격 : </t>
    <phoneticPr fontId="27" type="noConversion"/>
  </si>
  <si>
    <t>. 영업대표가 생각하는(희망하는) 개략적인 수주 가능 금액을 작성하시기 바랍니다. (의지치가 반영된 공격적인 금액이라도 작성하시기 바랍니다.)</t>
    <phoneticPr fontId="27" type="noConversion"/>
  </si>
  <si>
    <t>. 또는 영업대표가 생각하는(희망하는) 공수를 작성하시기 바랍니다.</t>
    <phoneticPr fontId="27" type="noConversion"/>
  </si>
  <si>
    <t>- 개략적인 시스템 구성도</t>
    <phoneticPr fontId="27" type="noConversion"/>
  </si>
  <si>
    <t>. 개략적인 시스템 구성도를 표시하시기 바랍니다. (PPT 가 아닌 수기 자료를 스케치한 Scan 이미지라도 작성하시기 바랍니다.)</t>
    <phoneticPr fontId="27" type="noConversion"/>
  </si>
  <si>
    <t>. Exchange, SharePoint, Lync, Mobile 포함여부 등에 대해서 기술하시기 바랍니다.</t>
    <phoneticPr fontId="27" type="noConversion"/>
  </si>
  <si>
    <t>. 정확하진 않더라도 시스템 구성도를 표시하시기 바랍니다. (구두로 요청한 이후에 Pre Sales 에서 작성한 자료를 Scan 해서 표시해도 좋습니다.)</t>
    <phoneticPr fontId="27" type="noConversion"/>
  </si>
  <si>
    <t>- 개략적인 Scope (당사 Scope 이 아닌 경우 3rd Party(회사명 포함) 로 명시하시기 바랍니다.)</t>
    <phoneticPr fontId="27" type="noConversion"/>
  </si>
  <si>
    <t xml:space="preserve">. Smart² 로 구축 Scope : </t>
    <phoneticPr fontId="27" type="noConversion"/>
  </si>
  <si>
    <t>cssEE-CP</t>
  </si>
  <si>
    <t>. 웹메일 구축 Scope :</t>
    <phoneticPr fontId="27" type="noConversion"/>
  </si>
  <si>
    <t>M365 및 아웃룩 연동</t>
    <phoneticPr fontId="68" type="noConversion"/>
  </si>
  <si>
    <t xml:space="preserve">. 메신저 구축 Scope : </t>
    <phoneticPr fontId="27" type="noConversion"/>
  </si>
  <si>
    <t>미포함(팀즈 사용중)</t>
    <phoneticPr fontId="68" type="noConversion"/>
  </si>
  <si>
    <t>. 모바일 구축 Scope :</t>
    <phoneticPr fontId="27" type="noConversion"/>
  </si>
  <si>
    <t>포함</t>
    <phoneticPr fontId="68" type="noConversion"/>
  </si>
  <si>
    <t>. SI 구축 Scope :</t>
    <phoneticPr fontId="27" type="noConversion"/>
  </si>
  <si>
    <t>. 기타 Scope :</t>
    <phoneticPr fontId="27" type="noConversion"/>
  </si>
  <si>
    <t>문서뷰어 (Synap), WebEditor (covi-webwriter)</t>
  </si>
  <si>
    <t>- 기타 공수 산정에 도움이 될만한 자료</t>
    <phoneticPr fontId="27" type="noConversion"/>
  </si>
  <si>
    <t>. 업무 요건 (RFP 또는 상세 기술 요건이 있는 경우에는 별도의 Sheet 로 작성 요망)</t>
    <phoneticPr fontId="27" type="noConversion"/>
  </si>
  <si>
    <t>. 업무 요건</t>
    <phoneticPr fontId="27" type="noConversion"/>
  </si>
  <si>
    <t>. 기타 Sales History</t>
    <phoneticPr fontId="27" type="noConversion"/>
  </si>
  <si>
    <t>- 아래 내용에 대해서는 파악된 부분에 대해서 작성하시기 바랍니다. (스캔한 자료를 첨부해도 좋습니다.)</t>
    <phoneticPr fontId="27" type="noConversion"/>
  </si>
  <si>
    <t>. AS-IS 시스템</t>
    <phoneticPr fontId="68" type="noConversion"/>
  </si>
  <si>
    <r>
      <t>.</t>
    </r>
    <r>
      <rPr>
        <b/>
        <sz val="10"/>
        <color theme="1"/>
        <rFont val="맑은 고딕"/>
        <family val="3"/>
        <charset val="129"/>
      </rPr>
      <t xml:space="preserve"> </t>
    </r>
    <r>
      <rPr>
        <b/>
        <sz val="10"/>
        <color theme="1"/>
        <rFont val="맑은 고딕"/>
        <family val="3"/>
        <charset val="129"/>
        <scheme val="minor"/>
      </rPr>
      <t>TO-BE 시스템 업무 Process</t>
    </r>
    <phoneticPr fontId="68" type="noConversion"/>
  </si>
  <si>
    <t>신규 구축</t>
    <phoneticPr fontId="68" type="noConversion"/>
  </si>
  <si>
    <t>끝.</t>
    <phoneticPr fontId="27" type="noConversion"/>
  </si>
  <si>
    <t>1. 고객사 : 유티아이(베트남 법인)</t>
    <phoneticPr fontId="68" type="noConversion"/>
  </si>
  <si>
    <r>
      <t xml:space="preserve">3. 기간 : </t>
    </r>
    <r>
      <rPr>
        <sz val="11"/>
        <color theme="1"/>
        <rFont val="맑은 고딕"/>
        <family val="2"/>
        <charset val="129"/>
        <scheme val="minor"/>
      </rPr>
      <t>4개월 예상</t>
    </r>
    <phoneticPr fontId="68" type="noConversion"/>
  </si>
  <si>
    <t>- CP Exchange 웹메일</t>
    <phoneticPr fontId="27" type="noConversion"/>
  </si>
  <si>
    <t>번역</t>
    <phoneticPr fontId="27" type="noConversion"/>
  </si>
  <si>
    <t>베트남어 추가</t>
    <phoneticPr fontId="27" type="noConversion"/>
  </si>
  <si>
    <t>AS-IS : 비즈웰</t>
    <phoneticPr fontId="27" type="noConversion"/>
  </si>
  <si>
    <t>- 코비젼에서 준비</t>
    <phoneticPr fontId="27" type="noConversion"/>
  </si>
  <si>
    <t># 개발자 1주 안정화 부분투입
- 1주 * 2명 = 5M/D * 2 = 10M/D</t>
    <phoneticPr fontId="27" type="noConversion"/>
  </si>
  <si>
    <t>- 운영 세팅 및 설치테스트, 개발-&gt;운영적용
- 통합테스트, 오픈준비, 매뉴얼, 산출물 작성, 교육
- 2주 * 1명 = 5M/D *2 = 10M/D</t>
    <phoneticPr fontId="27" type="noConversion"/>
  </si>
  <si>
    <t>350명</t>
    <phoneticPr fontId="68" type="noConversion"/>
  </si>
  <si>
    <t>cssEE : 문서관리, 결재, 포탈( 게시판, 일정, 자원 등 ), 메일(M365, 아웃룩 연동), 모바일, Teams Add-In
User : 350명
플랫폼 : Java
인프라 : 현대 구성되어 있음 / 물리서버 MS Hyper-V 가상화 이중화 구성( 가상화 서버 RHEL, My-SQL( or Maria DB )
조직도 : 베트남1공장 UNIERP, 베트남2공장 영림원 조직도 연동 / 추가로 본사 조직도 연동 필요함( 비즈웰 그룹웨어 or UNIERP - 둘다 DB는 MS-SQL )
           반대로 우리가 구성할 베트남(1,2) 공장 조직도를 본사 비즈웰 그룹웨어에 연동해 줘야 함
다국어 : 한국어, 영어, 베트남어( 베트남어 처리 관련 고객 지원 없는 기준 공수 필요 )
전자결재 양식 : 전체 20개 / 일반 15개 / 연동 5개( 베트남 공장 2개 및 ERP도 2개 이므로 연동 양식 총 10개로 산정 필요 )
ERP 연동유형 : 웹서비스
연동대상 제품 : UNIERP, 영림원 ERP, 비즈웰 조직도 DB
메일 : M365 연동( 아웃룩 포함 )
메신저 : Teams 사용중
마이그레이션 : 제외 (추후 협의 예정)
모바일 기안 : 휴가/근태 신청서 기안 필요
포탈 : 3개 필요( 본사, 베트남1공장, 베트남2공장 ) / 멀티 Company 사용
 1) 본사 포탈 : 비즈웰 포틀릿 + UNIERP 포틀릿
 2) 베트남1공장 포탈 : 비즈웰 포틀릿 + UNIERP 포틀릿
 3) 베트남2공장 포탈 : 비즈웰 포틀릿 + 영림원ERP 포틀릿
각 포탈에 ERP 및 비즈웰 그룹웨어 포틀릿 제공 / SSO or SLO를 통해 로그인 상태로 Main 화면 띄워주는 형태로만 제공하는 기준 공수 산정
구축요건 : 원격으로 수행 / 오픈시 베트남 출장</t>
    <phoneticPr fontId="68" type="noConversion"/>
  </si>
  <si>
    <t>1. 고객사 : 유티아이(베트남 법인)
2. 사용자 : 약 350명
3. 현재사용중 그룹웨어 : 비즈웰
4. 그룹웨어 검토 사유
   가. 한국 본사와 함께 비즈웰을 사용하고 있으나, 베트남 법인의 지속적 성장, 현 그룹웨어를 해외에서 사용함에 있어 이슈 및 직원들의 불편함 호소로 인해 신규 구축 결정
5. 인바운드 문의 내용( 총 2회 )
   가. 2025년 1월 문의
       1) 베트남 신규법인/공장 셋팅 중, MES와 ERP(영림원) 구축 중
       2) 본사 그룹웨어 및 POP3 메일 사용 중
       3) 전직원(120명) 대상 계정/이메일 보급
       4) 한국어, 영어, 베트남어 지원 필수
       5) M365 사용 예정
       6) Outlook을 메일, 일정, 미팅, Teams, SharePoint와 연동되는 종합생산성 앱으로 활용 희망
       7) 아웃룩, Sharepoint, Teams의 활용도를 높여 협업시스템 구성
       8) 전자결재 필수 / 기본양식, 추가양식, 결재라인, 전결, 병렬합의, 공람, 접수, 결재문서 아카이빙
       9) On-Premise Active Directory or MS Entra ID의 사용자, 조직도 연동, SSO 설정 희망
       10) 포털 구축 : 전자결재 문서현황, 공지사항, 이메일 현황 등
       11) On-Premise 희망 / 인터넷 속도 이슈로 Cloud형 사용 어려움
   나. 2025년 10월 문의
      1) 현재 본사 그룹웨어 사용 중
      2) 베트남 법인 별도로 그룹웨어 신규 구축 필요
      3) M365 기반 그룹웨어 희망 / 구축형 희망 / 베트남어 지원 필수
      4) M365 이메일 필수, ERP 인터페이스 필요, 포탈사이트, 공지사항, 게시판 등
      5) 사용예정 인원 300명</t>
    <phoneticPr fontId="68" type="noConversion"/>
  </si>
  <si>
    <t xml:space="preserve">비즈웰 그룹웨어
베트남 공장만 M365 사용중 </t>
    <phoneticPr fontId="68" type="noConversion"/>
  </si>
  <si>
    <t>2. 사용자 수 : 350명</t>
    <phoneticPr fontId="68" type="noConversion"/>
  </si>
  <si>
    <t>Outlook Add-in</t>
    <phoneticPr fontId="27" type="noConversion"/>
  </si>
  <si>
    <t># 작성기준
- 과업범위 : CP,포탈, 결재, 메일, 게시판, 일정, 자원, 문서관리, 모바일, 메신저, Teams Add-In, Outlook Add-in
- RockyOS/Apache/Tomcat/MariaDB
- 가상화 구성
- Synap Viewer, Covi Webwriter</t>
    <phoneticPr fontId="27" type="noConversion"/>
  </si>
  <si>
    <t>- ERP 연동
: 베트남 1공장(UNIERP), 베트남 2공장(영림원)
: MSSQL 뷰 테이블 제공</t>
    <phoneticPr fontId="27" type="noConversion"/>
  </si>
  <si>
    <t>- 작성 : 2026년 01월</t>
    <phoneticPr fontId="68" type="noConversion"/>
  </si>
  <si>
    <t>기본 공수 산정(0.2MM)
베트남어 지원(0.3MM)</t>
    <phoneticPr fontId="27" type="noConversion"/>
  </si>
  <si>
    <t>기본 공수 산정(0.1MM)
베트남어 지원(0.2MM)</t>
    <phoneticPr fontId="27" type="noConversion"/>
  </si>
  <si>
    <r>
      <t xml:space="preserve">- 일반양식 15개
- </t>
    </r>
    <r>
      <rPr>
        <strike/>
        <sz val="10"/>
        <color theme="1"/>
        <rFont val="맑은 고딕"/>
        <family val="3"/>
        <charset val="129"/>
        <scheme val="minor"/>
      </rPr>
      <t>연동양식 10개</t>
    </r>
    <r>
      <rPr>
        <sz val="10"/>
        <color theme="1"/>
        <rFont val="맑은 고딕"/>
        <family val="3"/>
        <charset val="129"/>
        <scheme val="minor"/>
      </rPr>
      <t xml:space="preserve">
</t>
    </r>
    <r>
      <rPr>
        <strike/>
        <sz val="10"/>
        <color theme="1"/>
        <rFont val="맑은 고딕"/>
        <family val="3"/>
        <charset val="129"/>
        <scheme val="minor"/>
      </rPr>
      <t xml:space="preserve">- 모바일 기안 양식 2개
</t>
    </r>
    <r>
      <rPr>
        <sz val="10"/>
        <color theme="1"/>
        <rFont val="맑은 고딕"/>
        <family val="3"/>
        <charset val="129"/>
        <scheme val="minor"/>
      </rPr>
      <t>(연동양식, 모바일 기안 없으나 공수는 변동 없음)</t>
    </r>
    <phoneticPr fontId="27" type="noConversion"/>
  </si>
  <si>
    <r>
      <t xml:space="preserve">기본 공수 산정
</t>
    </r>
    <r>
      <rPr>
        <sz val="10"/>
        <color theme="1"/>
        <rFont val="맑은 고딕"/>
        <family val="3"/>
        <charset val="129"/>
        <scheme val="minor"/>
      </rPr>
      <t>(범위에서 제외)</t>
    </r>
    <phoneticPr fontId="27" type="noConversion"/>
  </si>
  <si>
    <r>
      <t xml:space="preserve"># 포함내역
- 포탈, 결재, 메일, 게시판, 일정, 자원, 문서관리(0.65MM)
- 2개 회사 멀티컴퍼티 설정(1MM)
- 추가 개발(포틀릿 등) 고려(0.5MM)
- 자원예약 Exchange 일정 양방향 연동
</t>
    </r>
    <r>
      <rPr>
        <sz val="10"/>
        <color rgb="FFFF0000"/>
        <rFont val="맑은 고딕"/>
        <family val="3"/>
        <charset val="129"/>
        <scheme val="minor"/>
      </rPr>
      <t>* 기본 세팅만을 고려하여 산정하였음, 추가 커스텀 요건이 있을 경우 재산정 필요</t>
    </r>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</si>
</sst>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2" formatCode="_-&quot;₩&quot;* #,##0_-;\-&quot;₩&quot;* #,##0_-;_-&quot;₩&quot;* &quot;-&quot;_-;_-@_-"/>
    <numFmt numFmtId="41" formatCode="_-* #,##0_-;\-* #,##0_-;_-* &quot;-&quot;_-;_-@_-"/>
    <numFmt numFmtId="43" formatCode="_-* #,##0.00_-;\-* #,##0.00_-;_-* &quot;-&quot;??_-;_-@_-"/>
    <numFmt numFmtId="176" formatCode="_ &quot;₩&quot;* #,##0.00_ ;_ &quot;₩&quot;* \-#,##0.00_ ;_ &quot;₩&quot;* &quot;-&quot;??_ ;_ @_ "/>
    <numFmt numFmtId="177" formatCode="_ * #,##0_ ;_ * \-#,##0_ ;_ * &quot;-&quot;_ ;_ @_ "/>
    <numFmt numFmtId="178" formatCode="_ * #,##0.00_ ;_ * \-#,##0.00_ ;_ * &quot;-&quot;??_ ;_ @_ "/>
    <numFmt numFmtId="179" formatCode="\$#.00"/>
    <numFmt numFmtId="180" formatCode="_(&quot;$&quot;* #,##0.00_);_(&quot;$&quot;* \(#,##0.00\);_(&quot;$&quot;* &quot;-&quot;??_);_(@_)"/>
    <numFmt numFmtId="181" formatCode="m\o\n\th\ d\,\ yyyy"/>
    <numFmt numFmtId="182" formatCode="&quot;₩&quot;#,##0;[Red]&quot;₩&quot;&quot;₩&quot;&quot;₩&quot;&quot;₩&quot;&quot;₩&quot;&quot;₩&quot;&quot;₩&quot;&quot;₩&quot;&quot;₩&quot;&quot;₩&quot;&quot;₩&quot;\-#,##0"/>
    <numFmt numFmtId="183" formatCode="&quot;₩&quot;#,##0.00;[Red]&quot;₩&quot;&quot;₩&quot;&quot;₩&quot;&quot;₩&quot;&quot;₩&quot;&quot;₩&quot;&quot;₩&quot;&quot;₩&quot;&quot;₩&quot;&quot;₩&quot;&quot;₩&quot;\-#,##0.00"/>
    <numFmt numFmtId="184" formatCode="#.00"/>
    <numFmt numFmtId="185" formatCode="#."/>
    <numFmt numFmtId="186" formatCode="%#.00"/>
    <numFmt numFmtId="187" formatCode="###"/>
    <numFmt numFmtId="188" formatCode="_-* #,##0\ &quot;DM&quot;_-;\-* #,##0\ &quot;DM&quot;_-;_-* &quot;-&quot;\ &quot;DM&quot;_-;_-@_-"/>
    <numFmt numFmtId="189" formatCode="_-* #,##0.00\ &quot;DM&quot;_-;\-* #,##0.00\ &quot;DM&quot;_-;_-* &quot;-&quot;??\ &quot;DM&quot;_-;_-@_-"/>
    <numFmt numFmtId="190" formatCode="#,##0;[Red]&quot;-&quot;#,##0"/>
    <numFmt numFmtId="191" formatCode="&quot;₩&quot;#,##0;&quot;₩&quot;\-#,##0"/>
    <numFmt numFmtId="192" formatCode="&quot;₩&quot;#,##0.00\ ;\(&quot;₩&quot;#,##0.00\)"/>
    <numFmt numFmtId="193" formatCode="0.0"/>
  </numFmts>
  <fonts count="86">
    <font>
      <sz val="10"/>
      <color theme="1"/>
      <name val="맑은 고딕"/>
      <family val="2"/>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2"/>
      <charset val="129"/>
    </font>
    <font>
      <sz val="11"/>
      <color theme="1"/>
      <name val="맑은 고딕"/>
      <family val="2"/>
      <charset val="129"/>
      <scheme val="minor"/>
    </font>
    <font>
      <sz val="10"/>
      <color theme="1"/>
      <name val="맑은 고딕"/>
      <family val="3"/>
      <charset val="129"/>
      <scheme val="minor"/>
    </font>
    <font>
      <sz val="11"/>
      <name val="돋움"/>
      <family val="3"/>
      <charset val="129"/>
    </font>
    <font>
      <sz val="10"/>
      <name val="Arial"/>
      <family val="2"/>
    </font>
    <font>
      <sz val="12"/>
      <name val="바탕체"/>
      <family val="1"/>
      <charset val="129"/>
    </font>
    <font>
      <sz val="10"/>
      <name val="Helv"/>
      <family val="2"/>
    </font>
    <font>
      <sz val="12"/>
      <name val="Times New Roman"/>
      <family val="1"/>
    </font>
    <font>
      <sz val="12"/>
      <name val="¹UAAA¼"/>
      <family val="3"/>
      <charset val="129"/>
    </font>
    <font>
      <sz val="12"/>
      <name val="¹ÙÅÁÃ¼"/>
      <family val="3"/>
      <charset val="129"/>
    </font>
    <font>
      <sz val="8"/>
      <name val="Times New Roman"/>
      <family val="1"/>
    </font>
    <font>
      <sz val="12"/>
      <name val="System"/>
      <family val="2"/>
      <charset val="129"/>
    </font>
    <font>
      <sz val="10"/>
      <name val="Geneva"/>
      <family val="2"/>
    </font>
    <font>
      <b/>
      <sz val="11"/>
      <color rgb="FFFA7D00"/>
      <name val="맑은 고딕"/>
      <family val="3"/>
      <charset val="129"/>
      <scheme val="minor"/>
    </font>
    <font>
      <b/>
      <sz val="10"/>
      <name val="Helv"/>
      <family val="2"/>
    </font>
    <font>
      <sz val="1"/>
      <color indexed="8"/>
      <name val="Courier"/>
      <family val="3"/>
    </font>
    <font>
      <sz val="10"/>
      <name val="MS Sans Serif"/>
      <family val="2"/>
    </font>
    <font>
      <sz val="10"/>
      <name val="Times New Roman"/>
      <family val="1"/>
    </font>
    <font>
      <sz val="10"/>
      <name val="MS Serif"/>
      <family val="1"/>
    </font>
    <font>
      <sz val="10"/>
      <name val="굴림체"/>
      <family val="3"/>
      <charset val="129"/>
    </font>
    <font>
      <sz val="10"/>
      <color indexed="16"/>
      <name val="MS Serif"/>
      <family val="1"/>
    </font>
    <font>
      <i/>
      <sz val="1"/>
      <color indexed="8"/>
      <name val="Courier"/>
      <family val="3"/>
    </font>
    <font>
      <sz val="8"/>
      <name val="Arial"/>
      <family val="2"/>
    </font>
    <font>
      <b/>
      <sz val="12"/>
      <name val="Helv"/>
      <family val="2"/>
    </font>
    <font>
      <b/>
      <sz val="12"/>
      <name val="Arial"/>
      <family val="2"/>
    </font>
    <font>
      <b/>
      <sz val="1"/>
      <color indexed="8"/>
      <name val="Courier"/>
      <family val="3"/>
    </font>
    <font>
      <b/>
      <sz val="11"/>
      <name val="Helv"/>
      <family val="2"/>
    </font>
    <font>
      <sz val="11"/>
      <color theme="1"/>
      <name val="맑은 고딕"/>
      <family val="3"/>
      <charset val="129"/>
      <scheme val="minor"/>
    </font>
    <font>
      <sz val="12"/>
      <color indexed="24"/>
      <name val="바탕체"/>
      <family val="1"/>
      <charset val="129"/>
    </font>
    <font>
      <sz val="18"/>
      <color indexed="24"/>
      <name val="바탕체"/>
      <family val="1"/>
      <charset val="129"/>
    </font>
    <font>
      <sz val="8"/>
      <color indexed="24"/>
      <name val="바탕체"/>
      <family val="1"/>
      <charset val="129"/>
    </font>
    <font>
      <u/>
      <sz val="12"/>
      <color indexed="36"/>
      <name val="바탕체"/>
      <family val="1"/>
      <charset val="129"/>
    </font>
    <font>
      <sz val="14"/>
      <name val="뼻뮝"/>
      <family val="3"/>
      <charset val="129"/>
    </font>
    <font>
      <sz val="11"/>
      <name val="뼻뮝"/>
      <family val="3"/>
      <charset val="129"/>
    </font>
    <font>
      <sz val="12"/>
      <name val="뼻뮝"/>
      <family val="1"/>
      <charset val="129"/>
    </font>
    <font>
      <sz val="12"/>
      <name val="宋体"/>
      <charset val="129"/>
    </font>
    <font>
      <b/>
      <sz val="12"/>
      <color indexed="16"/>
      <name val="굴림체"/>
      <family val="3"/>
      <charset val="129"/>
    </font>
    <font>
      <sz val="10"/>
      <name val="명조"/>
      <family val="3"/>
      <charset val="129"/>
    </font>
    <font>
      <sz val="12"/>
      <name val="명조"/>
      <family val="3"/>
      <charset val="129"/>
    </font>
    <font>
      <u/>
      <sz val="11"/>
      <color indexed="12"/>
      <name val="돋움"/>
      <family val="3"/>
      <charset val="129"/>
    </font>
    <font>
      <sz val="11"/>
      <color theme="1"/>
      <name val="맑은 고딕"/>
      <family val="2"/>
      <scheme val="minor"/>
    </font>
    <font>
      <sz val="8"/>
      <name val="맑은 고딕"/>
      <family val="2"/>
      <charset val="129"/>
      <scheme val="minor"/>
    </font>
    <font>
      <b/>
      <sz val="10"/>
      <color theme="1"/>
      <name val="맑은 고딕"/>
      <family val="3"/>
      <charset val="129"/>
      <scheme val="minor"/>
    </font>
    <font>
      <sz val="9"/>
      <color theme="1"/>
      <name val="맑은 고딕"/>
      <family val="2"/>
      <charset val="129"/>
      <scheme val="minor"/>
    </font>
    <font>
      <b/>
      <sz val="11"/>
      <color theme="0"/>
      <name val="맑은 고딕"/>
      <family val="3"/>
      <charset val="129"/>
      <scheme val="minor"/>
    </font>
    <font>
      <sz val="10"/>
      <color theme="1"/>
      <name val="맑은 고딕"/>
      <family val="2"/>
      <charset val="129"/>
      <scheme val="minor"/>
    </font>
    <font>
      <b/>
      <sz val="10"/>
      <color rgb="FFFF0000"/>
      <name val="맑은 고딕"/>
      <family val="3"/>
      <charset val="129"/>
      <scheme val="minor"/>
    </font>
    <font>
      <sz val="10"/>
      <name val="맑은 고딕"/>
      <family val="3"/>
      <charset val="129"/>
      <scheme val="minor"/>
    </font>
    <font>
      <sz val="11"/>
      <color theme="1"/>
      <name val="맑은 고딕"/>
      <family val="2"/>
      <charset val="129"/>
    </font>
    <font>
      <b/>
      <u/>
      <sz val="10"/>
      <color rgb="FFFF0000"/>
      <name val="맑은 고딕"/>
      <family val="3"/>
      <charset val="129"/>
      <scheme val="minor"/>
    </font>
    <font>
      <b/>
      <sz val="11"/>
      <color rgb="FFFF0000"/>
      <name val="맑은 고딕"/>
      <family val="3"/>
      <charset val="129"/>
      <scheme val="minor"/>
    </font>
    <font>
      <sz val="10"/>
      <color rgb="FFFF0000"/>
      <name val="맑은 고딕"/>
      <family val="3"/>
      <charset val="129"/>
      <scheme val="minor"/>
    </font>
    <font>
      <sz val="8"/>
      <name val="맑은 고딕"/>
      <family val="3"/>
      <charset val="129"/>
      <scheme val="minor"/>
    </font>
    <font>
      <b/>
      <sz val="20"/>
      <color theme="1"/>
      <name val="맑은 고딕"/>
      <family val="3"/>
      <charset val="129"/>
      <scheme val="minor"/>
    </font>
    <font>
      <b/>
      <sz val="12"/>
      <color theme="1"/>
      <name val="맑은 고딕"/>
      <family val="3"/>
      <charset val="129"/>
      <scheme val="minor"/>
    </font>
    <font>
      <b/>
      <sz val="12"/>
      <color theme="1"/>
      <name val="맑은 고딕"/>
      <family val="3"/>
      <charset val="129"/>
    </font>
    <font>
      <sz val="10"/>
      <color rgb="FFFF0000"/>
      <name val="맑은 고딕"/>
      <family val="2"/>
      <charset val="129"/>
      <scheme val="minor"/>
    </font>
    <font>
      <b/>
      <sz val="10"/>
      <color theme="1"/>
      <name val="맑은 고딕"/>
      <family val="3"/>
      <charset val="129"/>
    </font>
    <font>
      <strike/>
      <sz val="10"/>
      <color theme="1"/>
      <name val="맑은 고딕"/>
      <family val="3"/>
      <charset val="129"/>
      <scheme val="minor"/>
    </font>
  </fonts>
  <fills count="13">
    <fill>
      <patternFill patternType="none"/>
    </fill>
    <fill>
      <patternFill patternType="gray125"/>
    </fill>
    <fill>
      <patternFill patternType="solid">
        <fgColor rgb="FFF2F2F2"/>
      </patternFill>
    </fill>
    <fill>
      <patternFill patternType="solid">
        <fgColor indexed="22"/>
        <bgColor indexed="64"/>
      </patternFill>
    </fill>
    <fill>
      <patternFill patternType="solid">
        <fgColor indexed="26"/>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34998626667073579"/>
        <bgColor indexed="64"/>
      </patternFill>
    </fill>
    <fill>
      <patternFill patternType="solid">
        <fgColor theme="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s>
  <borders count="32">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style="thin">
        <color indexed="64"/>
      </top>
      <bottom style="double">
        <color indexed="64"/>
      </bottom>
      <diagonal/>
    </border>
    <border>
      <left/>
      <right/>
      <top/>
      <bottom style="hair">
        <color indexed="64"/>
      </bottom>
      <diagonal/>
    </border>
    <border>
      <left/>
      <right/>
      <top style="double">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206">
    <xf numFmtId="0" fontId="0" fillId="0" borderId="0">
      <alignment vertical="center"/>
    </xf>
    <xf numFmtId="0" fontId="28" fillId="0" borderId="0">
      <alignment vertical="center"/>
    </xf>
    <xf numFmtId="41" fontId="30" fillId="0" borderId="0" applyFont="0" applyFill="0" applyBorder="0" applyAlignment="0" applyProtection="0">
      <alignment vertical="center"/>
    </xf>
    <xf numFmtId="176" fontId="32" fillId="0" borderId="3">
      <protection locked="0"/>
    </xf>
    <xf numFmtId="0" fontId="31" fillId="0" borderId="0"/>
    <xf numFmtId="0" fontId="31" fillId="0" borderId="0"/>
    <xf numFmtId="0" fontId="33" fillId="0" borderId="0"/>
    <xf numFmtId="0" fontId="33" fillId="0" borderId="0"/>
    <xf numFmtId="0" fontId="33" fillId="0" borderId="0"/>
    <xf numFmtId="0" fontId="31" fillId="0" borderId="0"/>
    <xf numFmtId="0" fontId="33" fillId="0" borderId="0"/>
    <xf numFmtId="0" fontId="32" fillId="0" borderId="0"/>
    <xf numFmtId="0" fontId="32" fillId="0" borderId="0"/>
    <xf numFmtId="0" fontId="31" fillId="0" borderId="0"/>
    <xf numFmtId="0" fontId="33" fillId="0" borderId="0"/>
    <xf numFmtId="0" fontId="33" fillId="0" borderId="0"/>
    <xf numFmtId="0" fontId="33" fillId="0" borderId="0"/>
    <xf numFmtId="0" fontId="32" fillId="0" borderId="0"/>
    <xf numFmtId="0" fontId="33" fillId="0" borderId="0"/>
    <xf numFmtId="0" fontId="32" fillId="0" borderId="0"/>
    <xf numFmtId="0" fontId="33" fillId="0" borderId="0"/>
    <xf numFmtId="0" fontId="32" fillId="0" borderId="0"/>
    <xf numFmtId="0" fontId="33" fillId="0" borderId="0"/>
    <xf numFmtId="0" fontId="31" fillId="0" borderId="0"/>
    <xf numFmtId="0" fontId="32" fillId="0" borderId="0"/>
    <xf numFmtId="0" fontId="33" fillId="0" borderId="0"/>
    <xf numFmtId="0" fontId="33" fillId="0" borderId="0"/>
    <xf numFmtId="0" fontId="32" fillId="0" borderId="0"/>
    <xf numFmtId="0" fontId="31" fillId="0" borderId="0"/>
    <xf numFmtId="0" fontId="32" fillId="0" borderId="0"/>
    <xf numFmtId="0" fontId="32" fillId="0" borderId="0"/>
    <xf numFmtId="0" fontId="32" fillId="0" borderId="0"/>
    <xf numFmtId="0" fontId="31" fillId="0" borderId="0"/>
    <xf numFmtId="0" fontId="33" fillId="0" borderId="0"/>
    <xf numFmtId="0" fontId="33" fillId="0" borderId="0"/>
    <xf numFmtId="0" fontId="33" fillId="0" borderId="0"/>
    <xf numFmtId="0" fontId="33" fillId="0" borderId="0"/>
    <xf numFmtId="0" fontId="33" fillId="0" borderId="0"/>
    <xf numFmtId="0" fontId="31" fillId="0" borderId="0"/>
    <xf numFmtId="0" fontId="32" fillId="0" borderId="0"/>
    <xf numFmtId="0" fontId="32" fillId="0" borderId="0"/>
    <xf numFmtId="0" fontId="32" fillId="0" borderId="0"/>
    <xf numFmtId="0" fontId="32" fillId="0" borderId="0"/>
    <xf numFmtId="0" fontId="32" fillId="0" borderId="0"/>
    <xf numFmtId="0" fontId="31" fillId="0" borderId="0"/>
    <xf numFmtId="0" fontId="31" fillId="0" borderId="0"/>
    <xf numFmtId="0" fontId="31" fillId="0" borderId="0"/>
    <xf numFmtId="0" fontId="31" fillId="0" borderId="0"/>
    <xf numFmtId="0" fontId="31" fillId="0" borderId="0"/>
    <xf numFmtId="0" fontId="33" fillId="0" borderId="0"/>
    <xf numFmtId="0" fontId="33" fillId="0" borderId="0"/>
    <xf numFmtId="0" fontId="33" fillId="0" borderId="0"/>
    <xf numFmtId="0" fontId="31" fillId="0" borderId="0"/>
    <xf numFmtId="0" fontId="33" fillId="0" borderId="0"/>
    <xf numFmtId="0" fontId="33" fillId="0" borderId="0"/>
    <xf numFmtId="0" fontId="32" fillId="0" borderId="0"/>
    <xf numFmtId="0" fontId="32" fillId="0" borderId="0"/>
    <xf numFmtId="0" fontId="31" fillId="0" borderId="0"/>
    <xf numFmtId="0" fontId="32" fillId="0" borderId="0"/>
    <xf numFmtId="0" fontId="32" fillId="0" borderId="0"/>
    <xf numFmtId="0" fontId="34" fillId="0" borderId="0"/>
    <xf numFmtId="0" fontId="33" fillId="0" borderId="0">
      <protection locked="0"/>
    </xf>
    <xf numFmtId="0" fontId="35" fillId="0" borderId="0" applyFont="0" applyFill="0" applyBorder="0" applyAlignment="0" applyProtection="0"/>
    <xf numFmtId="0" fontId="36" fillId="0" borderId="0" applyFont="0" applyFill="0" applyBorder="0" applyAlignment="0" applyProtection="0"/>
    <xf numFmtId="0" fontId="35" fillId="0" borderId="0" applyFont="0" applyFill="0" applyBorder="0" applyAlignment="0" applyProtection="0"/>
    <xf numFmtId="0" fontId="36" fillId="0" borderId="0" applyFont="0" applyFill="0" applyBorder="0" applyAlignment="0" applyProtection="0"/>
    <xf numFmtId="0" fontId="37" fillId="0" borderId="0">
      <alignment horizontal="center" wrapText="1"/>
      <protection locked="0"/>
    </xf>
    <xf numFmtId="177" fontId="35" fillId="0" borderId="0" applyFont="0" applyFill="0" applyBorder="0" applyAlignment="0" applyProtection="0"/>
    <xf numFmtId="0" fontId="36" fillId="0" borderId="0" applyFont="0" applyFill="0" applyBorder="0" applyAlignment="0" applyProtection="0"/>
    <xf numFmtId="178" fontId="35" fillId="0" borderId="0" applyFont="0" applyFill="0" applyBorder="0" applyAlignment="0" applyProtection="0"/>
    <xf numFmtId="0" fontId="36" fillId="0" borderId="0" applyFont="0" applyFill="0" applyBorder="0" applyAlignment="0" applyProtection="0"/>
    <xf numFmtId="0" fontId="38" fillId="0" borderId="0"/>
    <xf numFmtId="0" fontId="39" fillId="0" borderId="0"/>
    <xf numFmtId="0" fontId="30" fillId="0" borderId="0" applyFill="0" applyBorder="0" applyAlignment="0"/>
    <xf numFmtId="0" fontId="40" fillId="2" borderId="2" applyNumberFormat="0" applyAlignment="0" applyProtection="0">
      <alignment vertical="center"/>
    </xf>
    <xf numFmtId="0" fontId="41" fillId="0" borderId="0"/>
    <xf numFmtId="4" fontId="42" fillId="0" borderId="0">
      <protection locked="0"/>
    </xf>
    <xf numFmtId="0" fontId="43" fillId="0" borderId="0" applyFont="0" applyFill="0" applyBorder="0" applyAlignment="0" applyProtection="0"/>
    <xf numFmtId="0" fontId="44" fillId="0" borderId="0"/>
    <xf numFmtId="43" fontId="31" fillId="0" borderId="0" applyFont="0" applyFill="0" applyBorder="0" applyAlignment="0" applyProtection="0"/>
    <xf numFmtId="0" fontId="45" fillId="0" borderId="0" applyNumberFormat="0" applyAlignment="0">
      <alignment horizontal="left"/>
    </xf>
    <xf numFmtId="0" fontId="46" fillId="0" borderId="0" applyFont="0" applyFill="0" applyBorder="0" applyAlignment="0" applyProtection="0"/>
    <xf numFmtId="179" fontId="42" fillId="0" borderId="0">
      <protection locked="0"/>
    </xf>
    <xf numFmtId="0" fontId="43" fillId="0" borderId="0" applyFont="0" applyFill="0" applyBorder="0" applyAlignment="0" applyProtection="0"/>
    <xf numFmtId="180" fontId="31" fillId="0" borderId="0" applyFont="0" applyFill="0" applyBorder="0" applyAlignment="0" applyProtection="0"/>
    <xf numFmtId="0" fontId="30" fillId="0" borderId="0"/>
    <xf numFmtId="181" fontId="42" fillId="0" borderId="0">
      <protection locked="0"/>
    </xf>
    <xf numFmtId="182" fontId="30" fillId="0" borderId="0" applyFont="0" applyFill="0" applyBorder="0" applyAlignment="0" applyProtection="0"/>
    <xf numFmtId="183" fontId="30" fillId="0" borderId="0" applyFont="0" applyFill="0" applyBorder="0" applyAlignment="0" applyProtection="0"/>
    <xf numFmtId="0" fontId="30" fillId="0" borderId="0"/>
    <xf numFmtId="0" fontId="47" fillId="0" borderId="0" applyNumberFormat="0" applyAlignment="0">
      <alignment horizontal="left"/>
    </xf>
    <xf numFmtId="0" fontId="42" fillId="0" borderId="0">
      <protection locked="0"/>
    </xf>
    <xf numFmtId="0" fontId="42" fillId="0" borderId="0">
      <protection locked="0"/>
    </xf>
    <xf numFmtId="0" fontId="48" fillId="0" borderId="0">
      <protection locked="0"/>
    </xf>
    <xf numFmtId="0" fontId="42" fillId="0" borderId="0">
      <protection locked="0"/>
    </xf>
    <xf numFmtId="0" fontId="42" fillId="0" borderId="0">
      <protection locked="0"/>
    </xf>
    <xf numFmtId="0" fontId="42" fillId="0" borderId="0">
      <protection locked="0"/>
    </xf>
    <xf numFmtId="0" fontId="48" fillId="0" borderId="0">
      <protection locked="0"/>
    </xf>
    <xf numFmtId="184" fontId="42" fillId="0" borderId="0">
      <protection locked="0"/>
    </xf>
    <xf numFmtId="38" fontId="49" fillId="3" borderId="0" applyNumberFormat="0" applyBorder="0" applyAlignment="0" applyProtection="0"/>
    <xf numFmtId="0" fontId="50" fillId="0" borderId="0">
      <alignment horizontal="left"/>
    </xf>
    <xf numFmtId="0" fontId="51" fillId="0" borderId="4" applyNumberFormat="0" applyAlignment="0" applyProtection="0">
      <alignment horizontal="left" vertical="center"/>
    </xf>
    <xf numFmtId="0" fontId="51" fillId="0" borderId="5">
      <alignment horizontal="left" vertical="center"/>
    </xf>
    <xf numFmtId="185" fontId="52" fillId="0" borderId="0">
      <protection locked="0"/>
    </xf>
    <xf numFmtId="185" fontId="52" fillId="0" borderId="0">
      <protection locked="0"/>
    </xf>
    <xf numFmtId="10" fontId="49" fillId="4" borderId="1" applyNumberFormat="0" applyBorder="0" applyAlignment="0" applyProtection="0"/>
    <xf numFmtId="0" fontId="30" fillId="0" borderId="0" applyFont="0" applyFill="0" applyBorder="0" applyAlignment="0" applyProtection="0"/>
    <xf numFmtId="0" fontId="30" fillId="0" borderId="0" applyFont="0" applyFill="0" applyBorder="0" applyAlignment="0" applyProtection="0"/>
    <xf numFmtId="41" fontId="31" fillId="0" borderId="0" applyFont="0" applyFill="0" applyBorder="0" applyAlignment="0" applyProtection="0"/>
    <xf numFmtId="43" fontId="31" fillId="0" borderId="0" applyFont="0" applyFill="0" applyBorder="0" applyAlignment="0" applyProtection="0"/>
    <xf numFmtId="0" fontId="53" fillId="0" borderId="6"/>
    <xf numFmtId="0" fontId="31" fillId="0" borderId="0" applyFont="0" applyFill="0" applyBorder="0" applyAlignment="0" applyProtection="0"/>
    <xf numFmtId="0" fontId="31" fillId="0" borderId="0" applyFont="0" applyFill="0" applyBorder="0" applyAlignment="0" applyProtection="0"/>
    <xf numFmtId="181" fontId="32" fillId="0" borderId="0"/>
    <xf numFmtId="0" fontId="54" fillId="0" borderId="0">
      <alignment vertical="center"/>
    </xf>
    <xf numFmtId="0" fontId="31" fillId="0" borderId="0"/>
    <xf numFmtId="0" fontId="31" fillId="0" borderId="0" applyFont="0" applyFill="0" applyBorder="0" applyAlignment="0" applyProtection="0"/>
    <xf numFmtId="0" fontId="31" fillId="0" borderId="0" applyFont="0" applyFill="0" applyBorder="0" applyAlignment="0" applyProtection="0"/>
    <xf numFmtId="186" fontId="42" fillId="0" borderId="0">
      <protection locked="0"/>
    </xf>
    <xf numFmtId="10" fontId="31" fillId="0" borderId="0" applyFont="0" applyFill="0" applyBorder="0" applyAlignment="0" applyProtection="0"/>
    <xf numFmtId="187" fontId="31" fillId="0" borderId="0">
      <protection locked="0"/>
    </xf>
    <xf numFmtId="0" fontId="31" fillId="0" borderId="0"/>
    <xf numFmtId="0" fontId="33" fillId="0" borderId="0"/>
    <xf numFmtId="0" fontId="53" fillId="0" borderId="0"/>
    <xf numFmtId="185" fontId="42" fillId="0" borderId="7">
      <protection locked="0"/>
    </xf>
    <xf numFmtId="188" fontId="31" fillId="0" borderId="0" applyFont="0" applyFill="0" applyBorder="0" applyAlignment="0" applyProtection="0"/>
    <xf numFmtId="189" fontId="31" fillId="0" borderId="0" applyFont="0" applyFill="0" applyBorder="0" applyAlignment="0" applyProtection="0"/>
    <xf numFmtId="2" fontId="55" fillId="0" borderId="0" applyFont="0" applyFill="0" applyBorder="0" applyAlignment="0" applyProtection="0"/>
    <xf numFmtId="0" fontId="56" fillId="0" borderId="0" applyNumberFormat="0" applyFill="0" applyBorder="0" applyAlignment="0" applyProtection="0"/>
    <xf numFmtId="0" fontId="57" fillId="0" borderId="0" applyNumberForma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0" fontId="58" fillId="0" borderId="0" applyNumberFormat="0" applyFill="0" applyBorder="0" applyAlignment="0" applyProtection="0">
      <alignment vertical="top"/>
      <protection locked="0"/>
    </xf>
    <xf numFmtId="40" fontId="59" fillId="0" borderId="0" applyFont="0" applyFill="0" applyBorder="0" applyAlignment="0" applyProtection="0"/>
    <xf numFmtId="38" fontId="59"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9" fontId="30" fillId="0" borderId="0" applyFont="0" applyFill="0" applyBorder="0" applyAlignment="0" applyProtection="0"/>
    <xf numFmtId="0" fontId="61" fillId="0" borderId="0"/>
    <xf numFmtId="0" fontId="62" fillId="0" borderId="0"/>
    <xf numFmtId="190" fontId="63" fillId="0" borderId="0">
      <alignment vertical="center"/>
    </xf>
    <xf numFmtId="41" fontId="30" fillId="0" borderId="0" applyFont="0" applyFill="0" applyBorder="0" applyAlignment="0" applyProtection="0"/>
    <xf numFmtId="191" fontId="32" fillId="0" borderId="0" applyFont="0" applyFill="0" applyBorder="0" applyAlignment="0" applyProtection="0"/>
    <xf numFmtId="0" fontId="33" fillId="0" borderId="0"/>
    <xf numFmtId="0" fontId="64" fillId="0" borderId="8"/>
    <xf numFmtId="4" fontId="55" fillId="0" borderId="0" applyFont="0" applyFill="0" applyBorder="0" applyAlignment="0" applyProtection="0"/>
    <xf numFmtId="0" fontId="65" fillId="0" borderId="0"/>
    <xf numFmtId="4" fontId="42" fillId="0" borderId="0">
      <protection locked="0"/>
    </xf>
    <xf numFmtId="3" fontId="55" fillId="0" borderId="0" applyFont="0" applyFill="0" applyBorder="0" applyAlignment="0" applyProtection="0"/>
    <xf numFmtId="0" fontId="32" fillId="0" borderId="0"/>
    <xf numFmtId="0" fontId="32" fillId="0" borderId="0" applyFont="0" applyFill="0" applyBorder="0" applyAlignment="0" applyProtection="0"/>
    <xf numFmtId="0" fontId="32" fillId="0" borderId="0" applyFont="0" applyFill="0" applyBorder="0" applyAlignment="0" applyProtection="0"/>
    <xf numFmtId="42" fontId="30" fillId="0" borderId="0" applyFont="0" applyFill="0" applyBorder="0" applyAlignment="0" applyProtection="0"/>
    <xf numFmtId="42" fontId="30" fillId="0" borderId="0" applyFont="0" applyFill="0" applyBorder="0" applyAlignment="0" applyProtection="0">
      <alignment vertical="center"/>
    </xf>
    <xf numFmtId="10" fontId="55" fillId="0" borderId="0" applyFont="0" applyFill="0" applyBorder="0" applyAlignment="0" applyProtection="0"/>
    <xf numFmtId="0" fontId="54" fillId="0" borderId="0">
      <alignment vertical="center"/>
    </xf>
    <xf numFmtId="0" fontId="54" fillId="0" borderId="0">
      <alignment vertical="center"/>
    </xf>
    <xf numFmtId="0" fontId="30" fillId="0" borderId="0"/>
    <xf numFmtId="0" fontId="66" fillId="0" borderId="0" applyNumberFormat="0" applyFill="0" applyBorder="0" applyAlignment="0" applyProtection="0">
      <alignment vertical="top"/>
      <protection locked="0"/>
    </xf>
    <xf numFmtId="0" fontId="55" fillId="0" borderId="9" applyNumberFormat="0" applyFont="0" applyFill="0" applyAlignment="0" applyProtection="0"/>
    <xf numFmtId="192" fontId="55" fillId="0" borderId="0" applyFont="0" applyFill="0" applyBorder="0" applyAlignment="0" applyProtection="0"/>
    <xf numFmtId="191" fontId="55" fillId="0" borderId="0" applyFont="0" applyFill="0" applyBorder="0" applyAlignment="0" applyProtection="0"/>
    <xf numFmtId="42" fontId="54" fillId="0" borderId="0" applyFont="0" applyFill="0" applyBorder="0" applyAlignment="0" applyProtection="0">
      <alignment vertical="center"/>
    </xf>
    <xf numFmtId="0" fontId="67" fillId="0" borderId="0"/>
    <xf numFmtId="41" fontId="67" fillId="0" borderId="0" applyFont="0" applyFill="0" applyBorder="0" applyAlignment="0" applyProtection="0"/>
    <xf numFmtId="0" fontId="26" fillId="0" borderId="0">
      <alignment vertical="center"/>
    </xf>
    <xf numFmtId="0" fontId="25" fillId="0" borderId="0">
      <alignment vertical="center"/>
    </xf>
    <xf numFmtId="0" fontId="24" fillId="0" borderId="0">
      <alignment vertical="center"/>
    </xf>
    <xf numFmtId="0" fontId="23" fillId="0" borderId="0">
      <alignment vertical="center"/>
    </xf>
    <xf numFmtId="0" fontId="22" fillId="0" borderId="0">
      <alignment vertical="center"/>
    </xf>
    <xf numFmtId="0" fontId="75" fillId="0" borderId="0">
      <alignment vertical="center"/>
    </xf>
    <xf numFmtId="0" fontId="19" fillId="0" borderId="0">
      <alignment vertical="center"/>
    </xf>
    <xf numFmtId="0" fontId="17" fillId="0" borderId="0">
      <alignment vertical="center"/>
    </xf>
    <xf numFmtId="0" fontId="15" fillId="0" borderId="0">
      <alignment vertical="center"/>
    </xf>
    <xf numFmtId="0" fontId="14" fillId="0" borderId="0">
      <alignment vertical="center"/>
    </xf>
    <xf numFmtId="0" fontId="13" fillId="0" borderId="0">
      <alignment vertical="center"/>
    </xf>
    <xf numFmtId="0" fontId="12" fillId="0" borderId="0">
      <alignment vertical="center"/>
    </xf>
    <xf numFmtId="0" fontId="11" fillId="0" borderId="0">
      <alignment vertical="center"/>
    </xf>
    <xf numFmtId="0" fontId="8" fillId="0" borderId="0">
      <alignment vertical="center"/>
    </xf>
    <xf numFmtId="0" fontId="7" fillId="0" borderId="0">
      <alignment vertical="center"/>
    </xf>
    <xf numFmtId="41" fontId="30" fillId="0" borderId="0" applyFont="0" applyFill="0" applyBorder="0" applyAlignment="0" applyProtection="0">
      <alignment vertical="center"/>
    </xf>
    <xf numFmtId="41" fontId="30" fillId="0" borderId="0" applyFont="0" applyFill="0" applyBorder="0" applyAlignment="0" applyProtection="0"/>
    <xf numFmtId="42" fontId="30" fillId="0" borderId="0" applyFont="0" applyFill="0" applyBorder="0" applyAlignment="0" applyProtection="0"/>
    <xf numFmtId="42" fontId="30" fillId="0" borderId="0" applyFont="0" applyFill="0" applyBorder="0" applyAlignment="0" applyProtection="0">
      <alignment vertical="center"/>
    </xf>
    <xf numFmtId="42" fontId="54" fillId="0" borderId="0" applyFont="0" applyFill="0" applyBorder="0" applyAlignment="0" applyProtection="0">
      <alignment vertical="center"/>
    </xf>
    <xf numFmtId="41" fontId="67" fillId="0" borderId="0" applyFont="0" applyFill="0" applyBorder="0" applyAlignment="0" applyProtection="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0" fontId="6"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cellStyleXfs>
  <cellXfs count="206">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0" fillId="5" borderId="1" xfId="0" applyFill="1" applyBorder="1" applyAlignment="1">
      <alignment horizontal="center" vertical="center"/>
    </xf>
    <xf numFmtId="0" fontId="72" fillId="0" borderId="0" xfId="169" applyFont="1">
      <alignment vertical="center"/>
    </xf>
    <xf numFmtId="0" fontId="72" fillId="0" borderId="0" xfId="169" quotePrefix="1" applyFont="1">
      <alignment vertical="center"/>
    </xf>
    <xf numFmtId="0" fontId="22" fillId="0" borderId="0" xfId="169">
      <alignment vertical="center"/>
    </xf>
    <xf numFmtId="0" fontId="22" fillId="0" borderId="0" xfId="169" applyAlignment="1">
      <alignment vertical="center" wrapText="1"/>
    </xf>
    <xf numFmtId="0" fontId="70" fillId="0" borderId="0" xfId="169" quotePrefix="1" applyFont="1" applyAlignment="1">
      <alignment horizontal="right" vertical="center" wrapText="1"/>
    </xf>
    <xf numFmtId="0" fontId="69" fillId="6" borderId="1" xfId="169" applyFont="1" applyFill="1" applyBorder="1" applyAlignment="1">
      <alignment horizontal="center" vertical="center"/>
    </xf>
    <xf numFmtId="0" fontId="69" fillId="6" borderId="1" xfId="169" applyFont="1" applyFill="1" applyBorder="1" applyAlignment="1">
      <alignment horizontal="center" vertical="center" wrapText="1"/>
    </xf>
    <xf numFmtId="0" fontId="29" fillId="0" borderId="1" xfId="169" applyFont="1" applyBorder="1" applyAlignment="1">
      <alignment horizontal="center" vertical="center"/>
    </xf>
    <xf numFmtId="0" fontId="29" fillId="0" borderId="1" xfId="169" applyFont="1" applyBorder="1">
      <alignment vertical="center"/>
    </xf>
    <xf numFmtId="0" fontId="29" fillId="0" borderId="1" xfId="169" quotePrefix="1" applyFont="1" applyBorder="1" applyAlignment="1">
      <alignment vertical="center" wrapText="1"/>
    </xf>
    <xf numFmtId="0" fontId="29" fillId="0" borderId="12" xfId="169" applyFont="1" applyBorder="1" applyAlignment="1">
      <alignment horizontal="center" vertical="center"/>
    </xf>
    <xf numFmtId="0" fontId="29" fillId="0" borderId="0" xfId="169" applyFont="1" applyAlignment="1">
      <alignment vertical="center" wrapText="1"/>
    </xf>
    <xf numFmtId="0" fontId="29" fillId="0" borderId="1" xfId="169" applyFont="1" applyBorder="1" applyAlignment="1">
      <alignment horizontal="left" vertical="center"/>
    </xf>
    <xf numFmtId="0" fontId="29" fillId="0" borderId="11" xfId="169" applyFont="1" applyBorder="1" applyAlignment="1">
      <alignment horizontal="left" vertical="center"/>
    </xf>
    <xf numFmtId="0" fontId="29" fillId="0" borderId="0" xfId="169" quotePrefix="1" applyFont="1" applyAlignment="1">
      <alignment vertical="center" wrapText="1"/>
    </xf>
    <xf numFmtId="0" fontId="74" fillId="0" borderId="1" xfId="169" quotePrefix="1" applyFont="1" applyBorder="1" applyAlignment="1">
      <alignment vertical="center" wrapText="1"/>
    </xf>
    <xf numFmtId="0" fontId="72" fillId="0" borderId="0" xfId="169" applyFont="1" applyAlignment="1">
      <alignment vertical="center" wrapText="1"/>
    </xf>
    <xf numFmtId="0" fontId="29" fillId="0" borderId="1" xfId="169" applyFont="1" applyBorder="1" applyAlignment="1">
      <alignment vertical="center" wrapText="1"/>
    </xf>
    <xf numFmtId="193" fontId="69" fillId="7" borderId="1" xfId="169" applyNumberFormat="1" applyFont="1" applyFill="1" applyBorder="1">
      <alignment vertical="center"/>
    </xf>
    <xf numFmtId="0" fontId="69" fillId="7" borderId="1" xfId="169" applyFont="1" applyFill="1" applyBorder="1" applyAlignment="1">
      <alignment vertical="center" wrapText="1"/>
    </xf>
    <xf numFmtId="0" fontId="21" fillId="0" borderId="0" xfId="169" applyFont="1">
      <alignment vertical="center"/>
    </xf>
    <xf numFmtId="0" fontId="21" fillId="0" borderId="0" xfId="169" applyFont="1" applyAlignment="1">
      <alignment vertical="center" wrapText="1"/>
    </xf>
    <xf numFmtId="0" fontId="20" fillId="0" borderId="0" xfId="169" applyFont="1">
      <alignment vertical="center"/>
    </xf>
    <xf numFmtId="0" fontId="69" fillId="6" borderId="11" xfId="169" applyFont="1" applyFill="1" applyBorder="1" applyAlignment="1">
      <alignment horizontal="center" vertical="center"/>
    </xf>
    <xf numFmtId="0" fontId="18" fillId="0" borderId="0" xfId="169" applyFont="1">
      <alignment vertical="center"/>
    </xf>
    <xf numFmtId="0" fontId="76" fillId="0" borderId="0" xfId="169" applyFont="1">
      <alignment vertical="center"/>
    </xf>
    <xf numFmtId="0" fontId="72" fillId="0" borderId="0" xfId="169" quotePrefix="1" applyFont="1" applyAlignment="1">
      <alignment vertical="center" wrapText="1"/>
    </xf>
    <xf numFmtId="0" fontId="29" fillId="0" borderId="12" xfId="169" applyFont="1" applyBorder="1" applyAlignment="1">
      <alignment horizontal="left" vertical="center"/>
    </xf>
    <xf numFmtId="0" fontId="16" fillId="0" borderId="0" xfId="169" applyFont="1">
      <alignment vertical="center"/>
    </xf>
    <xf numFmtId="193" fontId="29" fillId="0" borderId="1" xfId="169" applyNumberFormat="1" applyFont="1" applyBorder="1">
      <alignment vertical="center"/>
    </xf>
    <xf numFmtId="0" fontId="77" fillId="0" borderId="0" xfId="169" applyFont="1">
      <alignment vertical="center"/>
    </xf>
    <xf numFmtId="0" fontId="29" fillId="0" borderId="12" xfId="169" applyFont="1" applyBorder="1">
      <alignment vertical="center"/>
    </xf>
    <xf numFmtId="0" fontId="29" fillId="0" borderId="14" xfId="169" applyFont="1" applyBorder="1">
      <alignment vertical="center"/>
    </xf>
    <xf numFmtId="0" fontId="73" fillId="0" borderId="1" xfId="169" quotePrefix="1" applyFont="1" applyBorder="1" applyAlignment="1">
      <alignment vertical="center" wrapText="1"/>
    </xf>
    <xf numFmtId="0" fontId="74" fillId="0" borderId="1" xfId="169" quotePrefix="1" applyFont="1" applyBorder="1">
      <alignment vertical="center"/>
    </xf>
    <xf numFmtId="0" fontId="71" fillId="7" borderId="1" xfId="177" applyFont="1" applyFill="1" applyBorder="1" applyAlignment="1">
      <alignment horizontal="center" vertical="center"/>
    </xf>
    <xf numFmtId="0" fontId="11" fillId="0" borderId="0" xfId="177">
      <alignment vertical="center"/>
    </xf>
    <xf numFmtId="0" fontId="11" fillId="0" borderId="1" xfId="177" applyBorder="1" applyAlignment="1">
      <alignment horizontal="center" vertical="center"/>
    </xf>
    <xf numFmtId="0" fontId="11" fillId="0" borderId="1" xfId="177" quotePrefix="1" applyBorder="1" applyAlignment="1">
      <alignment vertical="center" wrapText="1"/>
    </xf>
    <xf numFmtId="0" fontId="11" fillId="0" borderId="1" xfId="177" quotePrefix="1" applyBorder="1" applyAlignment="1">
      <alignment horizontal="left" vertical="center"/>
    </xf>
    <xf numFmtId="0" fontId="11" fillId="0" borderId="1" xfId="177" quotePrefix="1" applyBorder="1" applyAlignment="1">
      <alignment horizontal="left" vertical="center" wrapText="1"/>
    </xf>
    <xf numFmtId="0" fontId="11" fillId="0" borderId="1" xfId="177" applyBorder="1" applyAlignment="1">
      <alignment horizontal="left" vertical="center" wrapText="1"/>
    </xf>
    <xf numFmtId="0" fontId="11" fillId="8" borderId="1" xfId="177" applyFill="1" applyBorder="1" applyAlignment="1">
      <alignment horizontal="center" vertical="center"/>
    </xf>
    <xf numFmtId="0" fontId="11" fillId="5" borderId="1" xfId="177" applyFill="1" applyBorder="1" applyAlignment="1">
      <alignment horizontal="center" vertical="center"/>
    </xf>
    <xf numFmtId="0" fontId="11" fillId="5" borderId="11" xfId="177" applyFill="1" applyBorder="1" applyAlignment="1">
      <alignment horizontal="center" vertical="center"/>
    </xf>
    <xf numFmtId="0" fontId="11" fillId="0" borderId="0" xfId="177" applyAlignment="1">
      <alignment horizontal="left" vertical="center"/>
    </xf>
    <xf numFmtId="0" fontId="11" fillId="0" borderId="0" xfId="177" applyAlignment="1">
      <alignment horizontal="center" vertical="center"/>
    </xf>
    <xf numFmtId="0" fontId="29" fillId="0" borderId="11" xfId="169" applyFont="1" applyBorder="1">
      <alignment vertical="center"/>
    </xf>
    <xf numFmtId="0" fontId="29" fillId="0" borderId="13" xfId="169" applyFont="1" applyBorder="1" applyAlignment="1">
      <alignment horizontal="center" vertical="center"/>
    </xf>
    <xf numFmtId="0" fontId="10" fillId="0" borderId="0" xfId="169" applyFont="1">
      <alignment vertical="center"/>
    </xf>
    <xf numFmtId="0" fontId="29" fillId="0" borderId="12" xfId="169" quotePrefix="1" applyFont="1" applyBorder="1" applyAlignment="1">
      <alignment vertical="center" wrapText="1"/>
    </xf>
    <xf numFmtId="0" fontId="29" fillId="0" borderId="1" xfId="169" quotePrefix="1" applyFont="1" applyBorder="1">
      <alignment vertical="center"/>
    </xf>
    <xf numFmtId="2" fontId="69" fillId="7" borderId="1" xfId="169" applyNumberFormat="1" applyFont="1" applyFill="1" applyBorder="1">
      <alignment vertical="center"/>
    </xf>
    <xf numFmtId="0" fontId="29" fillId="0" borderId="10" xfId="169" applyFont="1" applyBorder="1">
      <alignment vertical="center"/>
    </xf>
    <xf numFmtId="0" fontId="29" fillId="0" borderId="11" xfId="169" applyFont="1" applyBorder="1" applyAlignment="1">
      <alignment horizontal="center" vertical="center" wrapText="1"/>
    </xf>
    <xf numFmtId="2" fontId="11" fillId="0" borderId="1" xfId="177" applyNumberFormat="1" applyBorder="1" applyAlignment="1">
      <alignment horizontal="center" vertical="center"/>
    </xf>
    <xf numFmtId="2" fontId="11" fillId="5" borderId="11" xfId="177" applyNumberFormat="1" applyFill="1" applyBorder="1" applyAlignment="1">
      <alignment horizontal="center" vertical="center"/>
    </xf>
    <xf numFmtId="0" fontId="9" fillId="0" borderId="0" xfId="169" applyFont="1">
      <alignment vertical="center"/>
    </xf>
    <xf numFmtId="0" fontId="29" fillId="0" borderId="1" xfId="178" quotePrefix="1" applyFont="1" applyBorder="1" applyAlignment="1">
      <alignment vertical="center" wrapText="1"/>
    </xf>
    <xf numFmtId="0" fontId="29" fillId="0" borderId="1" xfId="178" applyFont="1" applyBorder="1" applyAlignment="1">
      <alignment vertical="center" wrapText="1"/>
    </xf>
    <xf numFmtId="0" fontId="78" fillId="0" borderId="0" xfId="163" applyFont="1" applyAlignment="1">
      <alignment vertical="center"/>
    </xf>
    <xf numFmtId="0" fontId="29" fillId="0" borderId="0" xfId="163" applyFont="1" applyAlignment="1">
      <alignment vertical="center"/>
    </xf>
    <xf numFmtId="0" fontId="29" fillId="5" borderId="21" xfId="163" applyFont="1" applyFill="1" applyBorder="1" applyAlignment="1">
      <alignment horizontal="center" vertical="center"/>
    </xf>
    <xf numFmtId="0" fontId="29" fillId="5" borderId="1" xfId="163" applyFont="1" applyFill="1" applyBorder="1" applyAlignment="1">
      <alignment horizontal="center" vertical="center" wrapText="1"/>
    </xf>
    <xf numFmtId="0" fontId="29" fillId="5" borderId="22" xfId="163" applyFont="1" applyFill="1" applyBorder="1" applyAlignment="1">
      <alignment horizontal="center" vertical="center" wrapText="1"/>
    </xf>
    <xf numFmtId="0" fontId="29" fillId="10" borderId="22" xfId="163" applyFont="1" applyFill="1" applyBorder="1" applyAlignment="1">
      <alignment horizontal="center" vertical="center" wrapText="1"/>
    </xf>
    <xf numFmtId="0" fontId="29" fillId="5" borderId="21" xfId="163" applyFont="1" applyFill="1" applyBorder="1" applyAlignment="1">
      <alignment horizontal="center" vertical="center" wrapText="1"/>
    </xf>
    <xf numFmtId="0" fontId="29" fillId="5" borderId="10" xfId="163" applyFont="1" applyFill="1" applyBorder="1" applyAlignment="1">
      <alignment horizontal="center" vertical="center" wrapText="1"/>
    </xf>
    <xf numFmtId="0" fontId="29" fillId="0" borderId="0" xfId="163" applyFont="1" applyAlignment="1">
      <alignment vertical="center" wrapText="1"/>
    </xf>
    <xf numFmtId="0" fontId="29" fillId="11" borderId="1" xfId="163" applyFont="1" applyFill="1" applyBorder="1" applyAlignment="1">
      <alignment horizontal="center" vertical="center" wrapText="1"/>
    </xf>
    <xf numFmtId="0" fontId="29" fillId="10" borderId="22" xfId="163" applyFont="1" applyFill="1" applyBorder="1" applyAlignment="1">
      <alignment horizontal="center" vertical="center"/>
    </xf>
    <xf numFmtId="0" fontId="29" fillId="5" borderId="1" xfId="163" applyFont="1" applyFill="1" applyBorder="1" applyAlignment="1">
      <alignment horizontal="center" vertical="center"/>
    </xf>
    <xf numFmtId="0" fontId="29" fillId="5" borderId="10" xfId="163" applyFont="1" applyFill="1" applyBorder="1" applyAlignment="1">
      <alignment horizontal="center" vertical="center"/>
    </xf>
    <xf numFmtId="0" fontId="29" fillId="5" borderId="22" xfId="163" applyFont="1" applyFill="1" applyBorder="1" applyAlignment="1">
      <alignment horizontal="center" vertical="center"/>
    </xf>
    <xf numFmtId="0" fontId="29" fillId="11" borderId="1" xfId="163" applyFont="1" applyFill="1" applyBorder="1" applyAlignment="1">
      <alignment horizontal="center" vertical="center"/>
    </xf>
    <xf numFmtId="0" fontId="29" fillId="9" borderId="1" xfId="163" applyFont="1" applyFill="1" applyBorder="1" applyAlignment="1">
      <alignment horizontal="center" vertical="center"/>
    </xf>
    <xf numFmtId="0" fontId="29" fillId="9" borderId="22" xfId="163" applyFont="1" applyFill="1" applyBorder="1" applyAlignment="1">
      <alignment horizontal="center" vertical="center"/>
    </xf>
    <xf numFmtId="0" fontId="69" fillId="10" borderId="28" xfId="163" applyFont="1" applyFill="1" applyBorder="1" applyAlignment="1">
      <alignment horizontal="center" vertical="center" wrapText="1"/>
    </xf>
    <xf numFmtId="0" fontId="69" fillId="5" borderId="26" xfId="163" applyFont="1" applyFill="1" applyBorder="1" applyAlignment="1">
      <alignment horizontal="center" vertical="center" wrapText="1"/>
    </xf>
    <xf numFmtId="0" fontId="69" fillId="5" borderId="27" xfId="163" applyFont="1" applyFill="1" applyBorder="1" applyAlignment="1">
      <alignment horizontal="center" vertical="center" wrapText="1"/>
    </xf>
    <xf numFmtId="0" fontId="69" fillId="5" borderId="31" xfId="163" applyFont="1" applyFill="1" applyBorder="1" applyAlignment="1">
      <alignment horizontal="center" vertical="center" wrapText="1"/>
    </xf>
    <xf numFmtId="0" fontId="69" fillId="5" borderId="28" xfId="163" applyFont="1" applyFill="1" applyBorder="1" applyAlignment="1">
      <alignment horizontal="center" vertical="center" wrapText="1"/>
    </xf>
    <xf numFmtId="0" fontId="69" fillId="0" borderId="0" xfId="163" applyFont="1" applyAlignment="1">
      <alignment vertical="center"/>
    </xf>
    <xf numFmtId="0" fontId="29" fillId="0" borderId="0" xfId="163" applyFont="1" applyAlignment="1">
      <alignment horizontal="center" vertical="center"/>
    </xf>
    <xf numFmtId="0" fontId="29" fillId="11" borderId="0" xfId="163" applyFont="1" applyFill="1" applyAlignment="1">
      <alignment horizontal="center" vertical="center"/>
    </xf>
    <xf numFmtId="0" fontId="29" fillId="11" borderId="0" xfId="163" applyFont="1" applyFill="1" applyAlignment="1">
      <alignment vertical="center"/>
    </xf>
    <xf numFmtId="0" fontId="73" fillId="0" borderId="0" xfId="163" applyFont="1" applyAlignment="1">
      <alignment horizontal="left" vertical="center"/>
    </xf>
    <xf numFmtId="0" fontId="29" fillId="0" borderId="0" xfId="163" quotePrefix="1" applyFont="1" applyAlignment="1">
      <alignment horizontal="center" vertical="center"/>
    </xf>
    <xf numFmtId="0" fontId="29" fillId="11" borderId="0" xfId="163" applyFont="1" applyFill="1" applyAlignment="1">
      <alignment horizontal="center" vertical="center" wrapText="1"/>
    </xf>
    <xf numFmtId="0" fontId="29" fillId="11" borderId="0" xfId="163" applyFont="1" applyFill="1" applyAlignment="1">
      <alignment vertical="center" wrapText="1"/>
    </xf>
    <xf numFmtId="4" fontId="69" fillId="11" borderId="1" xfId="163" applyNumberFormat="1" applyFont="1" applyFill="1" applyBorder="1" applyAlignment="1">
      <alignment horizontal="center" vertical="center" wrapText="1"/>
    </xf>
    <xf numFmtId="4" fontId="29" fillId="11" borderId="1" xfId="163" quotePrefix="1" applyNumberFormat="1" applyFont="1" applyFill="1" applyBorder="1" applyAlignment="1">
      <alignment horizontal="center" vertical="center" wrapText="1"/>
    </xf>
    <xf numFmtId="4" fontId="29" fillId="11" borderId="1" xfId="163" applyNumberFormat="1" applyFont="1" applyFill="1" applyBorder="1" applyAlignment="1">
      <alignment horizontal="center" vertical="center" wrapText="1"/>
    </xf>
    <xf numFmtId="0" fontId="29" fillId="11" borderId="1" xfId="163" applyFont="1" applyFill="1" applyBorder="1" applyAlignment="1">
      <alignment vertical="center" wrapText="1"/>
    </xf>
    <xf numFmtId="4" fontId="69" fillId="11" borderId="1" xfId="163" quotePrefix="1" applyNumberFormat="1" applyFont="1" applyFill="1" applyBorder="1" applyAlignment="1">
      <alignment horizontal="center" vertical="center" wrapText="1"/>
    </xf>
    <xf numFmtId="0" fontId="29" fillId="11" borderId="0" xfId="163" applyFont="1" applyFill="1" applyAlignment="1">
      <alignment horizontal="left" vertical="center"/>
    </xf>
    <xf numFmtId="0" fontId="73" fillId="11" borderId="0" xfId="163" applyFont="1" applyFill="1" applyAlignment="1">
      <alignment horizontal="left" vertical="center"/>
    </xf>
    <xf numFmtId="0" fontId="29" fillId="0" borderId="1" xfId="198" quotePrefix="1" applyFont="1" applyBorder="1" applyAlignment="1">
      <alignment vertical="center" wrapText="1"/>
    </xf>
    <xf numFmtId="0" fontId="6" fillId="0" borderId="0" xfId="169" applyFont="1">
      <alignment vertical="center"/>
    </xf>
    <xf numFmtId="0" fontId="29" fillId="5" borderId="11" xfId="163" applyFont="1" applyFill="1" applyBorder="1" applyAlignment="1">
      <alignment horizontal="center" vertical="center"/>
    </xf>
    <xf numFmtId="0" fontId="29" fillId="5" borderId="11" xfId="163" applyFont="1" applyFill="1" applyBorder="1" applyAlignment="1">
      <alignment horizontal="center" vertical="center" wrapText="1"/>
    </xf>
    <xf numFmtId="0" fontId="29" fillId="10" borderId="20" xfId="163" applyFont="1" applyFill="1" applyBorder="1" applyAlignment="1">
      <alignment horizontal="center" vertical="center"/>
    </xf>
    <xf numFmtId="0" fontId="29" fillId="10" borderId="10" xfId="163" applyFont="1" applyFill="1" applyBorder="1" applyAlignment="1">
      <alignment horizontal="center" vertical="center" wrapText="1"/>
    </xf>
    <xf numFmtId="0" fontId="29" fillId="10" borderId="10" xfId="163" applyFont="1" applyFill="1" applyBorder="1" applyAlignment="1">
      <alignment horizontal="center" vertical="center"/>
    </xf>
    <xf numFmtId="0" fontId="69" fillId="10" borderId="31" xfId="163" applyFont="1" applyFill="1" applyBorder="1" applyAlignment="1">
      <alignment horizontal="center" vertical="center"/>
    </xf>
    <xf numFmtId="0" fontId="29" fillId="9" borderId="11" xfId="163" applyFont="1" applyFill="1" applyBorder="1" applyAlignment="1">
      <alignment horizontal="center" vertical="center"/>
    </xf>
    <xf numFmtId="0" fontId="69" fillId="5" borderId="30" xfId="163" applyFont="1" applyFill="1" applyBorder="1" applyAlignment="1">
      <alignment horizontal="center" vertical="center" wrapText="1"/>
    </xf>
    <xf numFmtId="0" fontId="29" fillId="10" borderId="21" xfId="163" applyFont="1" applyFill="1" applyBorder="1" applyAlignment="1">
      <alignment horizontal="center" vertical="center" wrapText="1"/>
    </xf>
    <xf numFmtId="0" fontId="29" fillId="10" borderId="21" xfId="163" applyFont="1" applyFill="1" applyBorder="1" applyAlignment="1">
      <alignment horizontal="center" vertical="center"/>
    </xf>
    <xf numFmtId="0" fontId="69" fillId="10" borderId="26" xfId="163" applyFont="1" applyFill="1" applyBorder="1" applyAlignment="1">
      <alignment horizontal="center" vertical="center" wrapText="1"/>
    </xf>
    <xf numFmtId="0" fontId="5" fillId="0" borderId="0" xfId="169" applyFont="1">
      <alignment vertical="center"/>
    </xf>
    <xf numFmtId="0" fontId="4" fillId="0" borderId="0" xfId="167" applyFont="1">
      <alignment vertical="center"/>
    </xf>
    <xf numFmtId="193" fontId="29" fillId="0" borderId="1" xfId="169" quotePrefix="1" applyNumberFormat="1" applyFont="1" applyBorder="1" applyAlignment="1">
      <alignment vertical="center" wrapText="1"/>
    </xf>
    <xf numFmtId="0" fontId="72" fillId="0" borderId="0" xfId="204" applyFont="1">
      <alignment vertical="center"/>
    </xf>
    <xf numFmtId="0" fontId="73" fillId="0" borderId="0" xfId="204" quotePrefix="1" applyFont="1">
      <alignment vertical="center"/>
    </xf>
    <xf numFmtId="0" fontId="73" fillId="0" borderId="0" xfId="204" applyFont="1">
      <alignment vertical="center"/>
    </xf>
    <xf numFmtId="0" fontId="81" fillId="0" borderId="0" xfId="204" applyFont="1">
      <alignment vertical="center"/>
    </xf>
    <xf numFmtId="0" fontId="69" fillId="0" borderId="0" xfId="204" quotePrefix="1" applyFont="1" applyAlignment="1">
      <alignment horizontal="left" vertical="center" indent="1"/>
    </xf>
    <xf numFmtId="0" fontId="72" fillId="12" borderId="0" xfId="204" applyFont="1" applyFill="1" applyAlignment="1">
      <alignment horizontal="left" vertical="center"/>
    </xf>
    <xf numFmtId="14" fontId="72" fillId="12" borderId="0" xfId="204" applyNumberFormat="1" applyFont="1" applyFill="1" applyAlignment="1">
      <alignment horizontal="left" vertical="center"/>
    </xf>
    <xf numFmtId="0" fontId="72" fillId="0" borderId="0" xfId="204" quotePrefix="1" applyFont="1">
      <alignment vertical="center"/>
    </xf>
    <xf numFmtId="0" fontId="74" fillId="12" borderId="0" xfId="204" applyFont="1" applyFill="1" applyAlignment="1">
      <alignment horizontal="left" vertical="center"/>
    </xf>
    <xf numFmtId="0" fontId="29" fillId="0" borderId="0" xfId="204" quotePrefix="1" applyFont="1" applyAlignment="1">
      <alignment horizontal="left" vertical="center" indent="2"/>
    </xf>
    <xf numFmtId="3" fontId="72" fillId="12" borderId="0" xfId="204" applyNumberFormat="1" applyFont="1" applyFill="1" applyAlignment="1">
      <alignment horizontal="left" vertical="center"/>
    </xf>
    <xf numFmtId="0" fontId="83" fillId="12" borderId="0" xfId="204" applyFont="1" applyFill="1" applyAlignment="1">
      <alignment horizontal="left" vertical="center" wrapText="1"/>
    </xf>
    <xf numFmtId="0" fontId="72" fillId="12" borderId="0" xfId="204" quotePrefix="1" applyFont="1" applyFill="1" applyAlignment="1">
      <alignment horizontal="left" vertical="center"/>
    </xf>
    <xf numFmtId="0" fontId="72" fillId="12" borderId="0" xfId="205" applyFont="1" applyFill="1" applyAlignment="1">
      <alignment horizontal="left" vertical="center" wrapText="1"/>
    </xf>
    <xf numFmtId="0" fontId="72" fillId="12" borderId="0" xfId="205" applyFont="1" applyFill="1" applyAlignment="1">
      <alignment horizontal="left" vertical="center"/>
    </xf>
    <xf numFmtId="0" fontId="72" fillId="0" borderId="0" xfId="204" applyFont="1" applyAlignment="1">
      <alignment horizontal="left" vertical="center"/>
    </xf>
    <xf numFmtId="0" fontId="69" fillId="0" borderId="0" xfId="204" quotePrefix="1" applyFont="1" applyAlignment="1">
      <alignment horizontal="left" vertical="center" indent="2"/>
    </xf>
    <xf numFmtId="0" fontId="72" fillId="12" borderId="0" xfId="204" quotePrefix="1" applyFont="1" applyFill="1" applyAlignment="1">
      <alignment horizontal="left" vertical="top" wrapText="1"/>
    </xf>
    <xf numFmtId="0" fontId="72" fillId="12" borderId="0" xfId="204" quotePrefix="1" applyFont="1" applyFill="1" applyAlignment="1">
      <alignment vertical="top" wrapText="1"/>
    </xf>
    <xf numFmtId="0" fontId="72" fillId="0" borderId="0" xfId="204" quotePrefix="1" applyFont="1" applyAlignment="1">
      <alignment vertical="center" wrapText="1"/>
    </xf>
    <xf numFmtId="0" fontId="72" fillId="12" borderId="0" xfId="204" quotePrefix="1" applyFont="1" applyFill="1" applyAlignment="1">
      <alignment vertical="top"/>
    </xf>
    <xf numFmtId="0" fontId="29" fillId="0" borderId="0" xfId="204" quotePrefix="1" applyFont="1" applyAlignment="1">
      <alignment horizontal="left" vertical="center"/>
    </xf>
    <xf numFmtId="0" fontId="29" fillId="0" borderId="14" xfId="169" quotePrefix="1" applyFont="1" applyBorder="1" applyAlignment="1">
      <alignment vertical="center" wrapText="1"/>
    </xf>
    <xf numFmtId="0" fontId="2" fillId="0" borderId="0" xfId="167" applyFont="1">
      <alignment vertical="center"/>
    </xf>
    <xf numFmtId="0" fontId="85" fillId="0" borderId="1" xfId="169" applyFont="1" applyBorder="1" applyAlignment="1">
      <alignment vertical="center" wrapText="1"/>
    </xf>
    <xf numFmtId="0" fontId="80" fillId="0" borderId="0" xfId="204" applyFont="1" applyAlignment="1">
      <alignment horizontal="center" vertical="center"/>
    </xf>
    <xf numFmtId="0" fontId="29" fillId="0" borderId="12" xfId="169" applyFont="1" applyBorder="1" applyAlignment="1">
      <alignment horizontal="center" vertical="center"/>
    </xf>
    <xf numFmtId="0" fontId="29" fillId="0" borderId="13" xfId="169" applyFont="1" applyBorder="1" applyAlignment="1">
      <alignment horizontal="center" vertical="center"/>
    </xf>
    <xf numFmtId="0" fontId="29" fillId="0" borderId="14" xfId="169" applyFont="1" applyBorder="1" applyAlignment="1">
      <alignment horizontal="center" vertical="center"/>
    </xf>
    <xf numFmtId="0" fontId="29" fillId="0" borderId="12" xfId="169" applyFont="1" applyBorder="1">
      <alignment vertical="center"/>
    </xf>
    <xf numFmtId="0" fontId="29" fillId="0" borderId="13" xfId="169" applyFont="1" applyBorder="1">
      <alignment vertical="center"/>
    </xf>
    <xf numFmtId="0" fontId="29" fillId="0" borderId="14" xfId="169" applyFont="1" applyBorder="1">
      <alignment vertical="center"/>
    </xf>
    <xf numFmtId="0" fontId="29" fillId="0" borderId="1" xfId="169" applyFont="1" applyBorder="1">
      <alignment vertical="center"/>
    </xf>
    <xf numFmtId="0" fontId="69" fillId="6" borderId="10" xfId="169" applyFont="1" applyFill="1" applyBorder="1" applyAlignment="1">
      <alignment horizontal="center" vertical="center"/>
    </xf>
    <xf numFmtId="0" fontId="69" fillId="6" borderId="11" xfId="169" applyFont="1" applyFill="1" applyBorder="1" applyAlignment="1">
      <alignment horizontal="center" vertical="center"/>
    </xf>
    <xf numFmtId="0" fontId="29" fillId="0" borderId="10" xfId="169" applyFont="1" applyBorder="1" applyAlignment="1">
      <alignment horizontal="left" vertical="center"/>
    </xf>
    <xf numFmtId="0" fontId="29" fillId="0" borderId="11" xfId="169" applyFont="1" applyBorder="1" applyAlignment="1">
      <alignment horizontal="left" vertical="center"/>
    </xf>
    <xf numFmtId="0" fontId="74" fillId="0" borderId="12" xfId="169" quotePrefix="1" applyFont="1" applyBorder="1" applyAlignment="1">
      <alignment horizontal="left" vertical="center" wrapText="1"/>
    </xf>
    <xf numFmtId="0" fontId="74" fillId="0" borderId="14" xfId="169" quotePrefix="1" applyFont="1" applyBorder="1" applyAlignment="1">
      <alignment horizontal="left" vertical="center" wrapText="1"/>
    </xf>
    <xf numFmtId="0" fontId="29" fillId="0" borderId="1" xfId="169" applyFont="1" applyBorder="1" applyAlignment="1">
      <alignment horizontal="left" vertical="center"/>
    </xf>
    <xf numFmtId="0" fontId="69" fillId="7" borderId="10" xfId="169" applyFont="1" applyFill="1" applyBorder="1" applyAlignment="1">
      <alignment horizontal="center" vertical="center"/>
    </xf>
    <xf numFmtId="0" fontId="69" fillId="7" borderId="5" xfId="169" applyFont="1" applyFill="1" applyBorder="1" applyAlignment="1">
      <alignment horizontal="center" vertical="center"/>
    </xf>
    <xf numFmtId="0" fontId="69" fillId="7" borderId="11" xfId="169" applyFont="1" applyFill="1" applyBorder="1" applyAlignment="1">
      <alignment horizontal="center" vertical="center"/>
    </xf>
    <xf numFmtId="0" fontId="29" fillId="11" borderId="10" xfId="163" applyFont="1" applyFill="1" applyBorder="1" applyAlignment="1">
      <alignment horizontal="center" vertical="center" wrapText="1"/>
    </xf>
    <xf numFmtId="0" fontId="29" fillId="11" borderId="11" xfId="163" applyFont="1" applyFill="1" applyBorder="1" applyAlignment="1">
      <alignment horizontal="center" vertical="center" wrapText="1"/>
    </xf>
    <xf numFmtId="0" fontId="29" fillId="11" borderId="1" xfId="163" applyFont="1" applyFill="1" applyBorder="1" applyAlignment="1">
      <alignment horizontal="left" vertical="center" wrapText="1"/>
    </xf>
    <xf numFmtId="0" fontId="29" fillId="11" borderId="1" xfId="163" applyFont="1" applyFill="1" applyBorder="1" applyAlignment="1">
      <alignment horizontal="left" vertical="center"/>
    </xf>
    <xf numFmtId="0" fontId="29" fillId="12" borderId="1" xfId="163" applyFont="1" applyFill="1" applyBorder="1" applyAlignment="1">
      <alignment horizontal="center" vertical="center" wrapText="1"/>
    </xf>
    <xf numFmtId="0" fontId="29" fillId="11" borderId="12" xfId="163" applyFont="1" applyFill="1" applyBorder="1" applyAlignment="1">
      <alignment horizontal="center" vertical="center" wrapText="1"/>
    </xf>
    <xf numFmtId="0" fontId="29" fillId="11" borderId="13" xfId="163" applyFont="1" applyFill="1" applyBorder="1" applyAlignment="1">
      <alignment horizontal="center" vertical="center" wrapText="1"/>
    </xf>
    <xf numFmtId="0" fontId="29" fillId="11" borderId="14" xfId="163" applyFont="1" applyFill="1" applyBorder="1" applyAlignment="1">
      <alignment horizontal="center" vertical="center" wrapText="1"/>
    </xf>
    <xf numFmtId="0" fontId="29" fillId="12" borderId="12" xfId="163" applyFont="1" applyFill="1" applyBorder="1" applyAlignment="1">
      <alignment horizontal="center" vertical="center"/>
    </xf>
    <xf numFmtId="0" fontId="29" fillId="5" borderId="19" xfId="163" applyFont="1" applyFill="1" applyBorder="1" applyAlignment="1">
      <alignment horizontal="center" vertical="center" wrapText="1"/>
    </xf>
    <xf numFmtId="0" fontId="29" fillId="5" borderId="16" xfId="163" applyFont="1" applyFill="1" applyBorder="1" applyAlignment="1">
      <alignment horizontal="center" vertical="center"/>
    </xf>
    <xf numFmtId="0" fontId="29" fillId="5" borderId="20" xfId="163" applyFont="1" applyFill="1" applyBorder="1" applyAlignment="1">
      <alignment horizontal="center" vertical="center"/>
    </xf>
    <xf numFmtId="0" fontId="29" fillId="5" borderId="15" xfId="163" applyFont="1" applyFill="1" applyBorder="1" applyAlignment="1">
      <alignment horizontal="center" vertical="center" wrapText="1"/>
    </xf>
    <xf numFmtId="0" fontId="29" fillId="5" borderId="17" xfId="163" applyFont="1" applyFill="1" applyBorder="1" applyAlignment="1">
      <alignment horizontal="center" vertical="center"/>
    </xf>
    <xf numFmtId="0" fontId="29" fillId="11" borderId="21" xfId="163" applyFont="1" applyFill="1" applyBorder="1" applyAlignment="1">
      <alignment horizontal="center" vertical="center" wrapText="1"/>
    </xf>
    <xf numFmtId="0" fontId="29" fillId="11" borderId="26" xfId="163" applyFont="1" applyFill="1" applyBorder="1" applyAlignment="1">
      <alignment horizontal="center" vertical="center" wrapText="1"/>
    </xf>
    <xf numFmtId="0" fontId="29" fillId="11" borderId="1" xfId="163" applyFont="1" applyFill="1" applyBorder="1" applyAlignment="1">
      <alignment horizontal="center" vertical="center" wrapText="1"/>
    </xf>
    <xf numFmtId="0" fontId="29" fillId="11" borderId="27" xfId="163" applyFont="1" applyFill="1" applyBorder="1" applyAlignment="1">
      <alignment horizontal="center" vertical="center" wrapText="1"/>
    </xf>
    <xf numFmtId="0" fontId="29" fillId="11" borderId="1" xfId="163" applyFont="1" applyFill="1" applyBorder="1" applyAlignment="1">
      <alignment horizontal="center" vertical="center"/>
    </xf>
    <xf numFmtId="0" fontId="29" fillId="11" borderId="27" xfId="163" applyFont="1" applyFill="1" applyBorder="1" applyAlignment="1">
      <alignment horizontal="center" vertical="center"/>
    </xf>
    <xf numFmtId="0" fontId="29" fillId="11" borderId="22" xfId="163" applyFont="1" applyFill="1" applyBorder="1" applyAlignment="1">
      <alignment horizontal="center" vertical="center" wrapText="1"/>
    </xf>
    <xf numFmtId="0" fontId="29" fillId="11" borderId="22" xfId="163" applyFont="1" applyFill="1" applyBorder="1" applyAlignment="1">
      <alignment horizontal="center" vertical="center"/>
    </xf>
    <xf numFmtId="0" fontId="29" fillId="11" borderId="28" xfId="163" applyFont="1" applyFill="1" applyBorder="1" applyAlignment="1">
      <alignment horizontal="center" vertical="center"/>
    </xf>
    <xf numFmtId="0" fontId="69" fillId="10" borderId="24" xfId="163" applyFont="1" applyFill="1" applyBorder="1" applyAlignment="1">
      <alignment horizontal="center" vertical="center"/>
    </xf>
    <xf numFmtId="0" fontId="69" fillId="10" borderId="25" xfId="163" applyFont="1" applyFill="1" applyBorder="1" applyAlignment="1">
      <alignment horizontal="center" vertical="center"/>
    </xf>
    <xf numFmtId="0" fontId="69" fillId="10" borderId="29" xfId="163" applyFont="1" applyFill="1" applyBorder="1" applyAlignment="1">
      <alignment horizontal="center" vertical="center"/>
    </xf>
    <xf numFmtId="0" fontId="29" fillId="9" borderId="0" xfId="163" applyFont="1" applyFill="1" applyAlignment="1">
      <alignment horizontal="left" vertical="center"/>
    </xf>
    <xf numFmtId="0" fontId="29" fillId="5" borderId="15" xfId="163" applyFont="1" applyFill="1" applyBorder="1" applyAlignment="1">
      <alignment horizontal="center" vertical="center"/>
    </xf>
    <xf numFmtId="0" fontId="29" fillId="5" borderId="21" xfId="163" applyFont="1" applyFill="1" applyBorder="1" applyAlignment="1">
      <alignment horizontal="center" vertical="center"/>
    </xf>
    <xf numFmtId="0" fontId="29" fillId="5" borderId="16" xfId="163" applyFont="1" applyFill="1" applyBorder="1" applyAlignment="1">
      <alignment horizontal="center" vertical="center" wrapText="1"/>
    </xf>
    <xf numFmtId="0" fontId="29" fillId="5" borderId="1" xfId="163" applyFont="1" applyFill="1" applyBorder="1" applyAlignment="1">
      <alignment horizontal="center" vertical="center" wrapText="1"/>
    </xf>
    <xf numFmtId="0" fontId="69" fillId="10" borderId="18" xfId="163" applyFont="1" applyFill="1" applyBorder="1" applyAlignment="1">
      <alignment horizontal="center" vertical="center"/>
    </xf>
    <xf numFmtId="0" fontId="69" fillId="10" borderId="23" xfId="163" applyFont="1" applyFill="1" applyBorder="1" applyAlignment="1">
      <alignment horizontal="center" vertical="center"/>
    </xf>
    <xf numFmtId="0" fontId="69" fillId="10" borderId="15" xfId="163" applyFont="1" applyFill="1" applyBorder="1" applyAlignment="1">
      <alignment horizontal="center" vertical="center"/>
    </xf>
    <xf numFmtId="0" fontId="69" fillId="10" borderId="17" xfId="163" applyFont="1" applyFill="1" applyBorder="1" applyAlignment="1">
      <alignment horizontal="center" vertical="center"/>
    </xf>
    <xf numFmtId="0" fontId="29" fillId="5" borderId="12" xfId="163" applyFont="1" applyFill="1" applyBorder="1" applyAlignment="1">
      <alignment horizontal="center" vertical="center"/>
    </xf>
    <xf numFmtId="0" fontId="29" fillId="5" borderId="14" xfId="163" applyFont="1" applyFill="1" applyBorder="1" applyAlignment="1">
      <alignment horizontal="center" vertical="center"/>
    </xf>
    <xf numFmtId="0" fontId="29" fillId="5" borderId="12" xfId="163" applyFont="1" applyFill="1" applyBorder="1" applyAlignment="1">
      <alignment horizontal="center" vertical="center" wrapText="1"/>
    </xf>
    <xf numFmtId="0" fontId="29" fillId="5" borderId="14" xfId="163" applyFont="1" applyFill="1" applyBorder="1" applyAlignment="1">
      <alignment horizontal="center" vertical="center" wrapText="1"/>
    </xf>
    <xf numFmtId="0" fontId="29" fillId="5" borderId="10" xfId="163" applyFont="1" applyFill="1" applyBorder="1" applyAlignment="1">
      <alignment horizontal="center" vertical="center"/>
    </xf>
    <xf numFmtId="0" fontId="29" fillId="5" borderId="5" xfId="163" applyFont="1" applyFill="1" applyBorder="1" applyAlignment="1">
      <alignment horizontal="center" vertical="center"/>
    </xf>
    <xf numFmtId="0" fontId="29" fillId="5" borderId="11" xfId="163" applyFont="1" applyFill="1" applyBorder="1" applyAlignment="1">
      <alignment horizontal="center" vertical="center"/>
    </xf>
    <xf numFmtId="0" fontId="29" fillId="5" borderId="5" xfId="163" applyFont="1" applyFill="1" applyBorder="1" applyAlignment="1">
      <alignment horizontal="center" vertical="center" wrapText="1"/>
    </xf>
    <xf numFmtId="0" fontId="29" fillId="5" borderId="11" xfId="163" applyFont="1" applyFill="1" applyBorder="1" applyAlignment="1">
      <alignment horizontal="center" vertical="center" wrapText="1"/>
    </xf>
    <xf numFmtId="0" fontId="0" fillId="5" borderId="1" xfId="0" applyFill="1" applyBorder="1" applyAlignment="1">
      <alignment horizontal="center" vertical="center"/>
    </xf>
    <xf numFmtId="0" fontId="0" fillId="5" borderId="1" xfId="0" applyFill="1" applyBorder="1" applyAlignment="1">
      <alignment horizontal="center" vertical="center" wrapText="1"/>
    </xf>
  </cellXfs>
  <cellStyles count="206">
    <cellStyle name="??_x000c_@?_x000d_3?_x0001__x000b_" xfId="3" xr:uid="{00000000-0005-0000-0000-000000000000}"/>
    <cellStyle name="_(LG마이크론)원가분석_040531" xfId="4" xr:uid="{00000000-0005-0000-0000-000001000000}"/>
    <cellStyle name="_0302-ES-0603-0030_동우화인캠-코비젼견적서(20060323)-1" xfId="5" xr:uid="{00000000-0005-0000-0000-000002000000}"/>
    <cellStyle name="_040423_후지필름_ML570G2_제안" xfId="6" xr:uid="{00000000-0005-0000-0000-000003000000}"/>
    <cellStyle name="_040602_대홍기획 발송_DL380G3_DL560_제안" xfId="7" xr:uid="{00000000-0005-0000-0000-000004000000}"/>
    <cellStyle name="_040603_롯데정보통신_DL380G3_DL580G2_제안2(1)" xfId="8" xr:uid="{00000000-0005-0000-0000-000005000000}"/>
    <cellStyle name="_0816_KB_연구소 진행 Project(Ver17.0) 견적_050816_김승일(Disk 이중화)" xfId="9" xr:uid="{00000000-0005-0000-0000-000006000000}"/>
    <cellStyle name="_1안(Turnkey)_030127" xfId="10" xr:uid="{00000000-0005-0000-0000-000007000000}"/>
    <cellStyle name="_2002-12-30 동부건설 견적서(2단계사업)" xfId="11" xr:uid="{00000000-0005-0000-0000-000008000000}"/>
    <cellStyle name="_2003-3-14 대림콩크리트 GW견적" xfId="12" xr:uid="{00000000-0005-0000-0000-000009000000}"/>
    <cellStyle name="_2004SW노임단가" xfId="13" xr:uid="{00000000-0005-0000-0000-00000A000000}"/>
    <cellStyle name="_500user견적(021014)-GW,Wf,EDMS,검색" xfId="14" xr:uid="{00000000-0005-0000-0000-00000B000000}"/>
    <cellStyle name="_Book129" xfId="15" xr:uid="{00000000-0005-0000-0000-00000C000000}"/>
    <cellStyle name="_COMPAQServer" xfId="16" xr:uid="{00000000-0005-0000-0000-00000D000000}"/>
    <cellStyle name="_e-Biz(박인광계장님-Win2003Std)0310161" xfId="17" xr:uid="{00000000-0005-0000-0000-00000E000000}"/>
    <cellStyle name="_e-Biz나대영e-Mail발송서버031017-1차ㅣㅣ" xfId="18" xr:uid="{00000000-0005-0000-0000-00000F000000}"/>
    <cellStyle name="_EDMS_KMS 구축견적서(온더아이티)_050708" xfId="19" xr:uid="{00000000-0005-0000-0000-000010000000}"/>
    <cellStyle name="_IST_HW_020520_01_현대정유(V880)" xfId="20" xr:uid="{00000000-0005-0000-0000-000011000000}"/>
    <cellStyle name="_IST_HW_020528_01_SKC&amp;C(450R)" xfId="21" xr:uid="{00000000-0005-0000-0000-000012000000}"/>
    <cellStyle name="_IST_HW_020529_01_오일뱅크(570RACK)" xfId="22" xr:uid="{00000000-0005-0000-0000-000013000000}"/>
    <cellStyle name="_KB_연구소 진행 Project(Ver18 0) 견적_050817_김승일(vat 별도) (2)" xfId="23" xr:uid="{00000000-0005-0000-0000-000014000000}"/>
    <cellStyle name="_견적 범우화학(2003.01.29-Sim)KM,GW,EDM" xfId="24" xr:uid="{00000000-0005-0000-0000-000015000000}"/>
    <cellStyle name="_견적서_20031017" xfId="25" xr:uid="{00000000-0005-0000-0000-000016000000}"/>
    <cellStyle name="_견적-하이콤정보통신(2002.08.16).." xfId="26" xr:uid="{00000000-0005-0000-0000-000017000000}"/>
    <cellStyle name="_과기처노임단가" xfId="27" xr:uid="{00000000-0005-0000-0000-000018000000}"/>
    <cellStyle name="_구축견적서(온더아이티)_050701" xfId="28" xr:uid="{00000000-0005-0000-0000-000019000000}"/>
    <cellStyle name="_구축견적서(온더아이티)_050826" xfId="29" xr:uid="{00000000-0005-0000-0000-00001A000000}"/>
    <cellStyle name="_구축견적서(온더아이티)_050829(제출용)" xfId="30" xr:uid="{00000000-0005-0000-0000-00001B000000}"/>
    <cellStyle name="_국민은행 지식경영 3차 견적서_050526" xfId="31" xr:uid="{00000000-0005-0000-0000-00001C000000}"/>
    <cellStyle name="_기업은행(내부견적서)_050806" xfId="32" xr:uid="{00000000-0005-0000-0000-00001D000000}"/>
    <cellStyle name="_단월드 ,평화대학원.대학교 사이버 대학 시스템임석규 부장님05.1.25미팅수정건" xfId="33" xr:uid="{00000000-0005-0000-0000-00001E000000}"/>
    <cellStyle name="_두산중공업_021203" xfId="34" xr:uid="{00000000-0005-0000-0000-00001F000000}"/>
    <cellStyle name="_롯데레몬 사이트 개발 견적서02-10-29" xfId="35" xr:uid="{00000000-0005-0000-0000-000020000000}"/>
    <cellStyle name="_롯데레몬 사이트 개발 견적서02-11-06" xfId="36" xr:uid="{00000000-0005-0000-0000-000021000000}"/>
    <cellStyle name="_롯데삼강_inSight(20021030)" xfId="37" xr:uid="{00000000-0005-0000-0000-000022000000}"/>
    <cellStyle name="_별첨1. 가격산출 근거표(견적서)_050822" xfId="38" xr:uid="{00000000-0005-0000-0000-000023000000}"/>
    <cellStyle name="_별첨1. 견적서(2단계 분리)_050829" xfId="39" xr:uid="{00000000-0005-0000-0000-000024000000}"/>
    <cellStyle name="_별첨1.구축 제안견적서(온더아이티-내부용)_051223" xfId="40" xr:uid="{00000000-0005-0000-0000-000025000000}"/>
    <cellStyle name="_별첨1.구축 제안견적서(티브로드)_060113" xfId="41" xr:uid="{00000000-0005-0000-0000-000026000000}"/>
    <cellStyle name="_별첨1.구축견적서(온더아이티)_050810(최종본)_샘플" xfId="42" xr:uid="{00000000-0005-0000-0000-000027000000}"/>
    <cellStyle name="_별첨1.구축견적서(온더아이티)_051123" xfId="43" xr:uid="{00000000-0005-0000-0000-000028000000}"/>
    <cellStyle name="_별첨1.제안견적서(온더아이티)_051216" xfId="44" xr:uid="{00000000-0005-0000-0000-000029000000}"/>
    <cellStyle name="_별첨1.제안견적서(온더아이티_코비젼)_051123" xfId="45" xr:uid="{00000000-0005-0000-0000-00002A000000}"/>
    <cellStyle name="_별첨2.구축견적서_050516" xfId="46" xr:uid="{00000000-0005-0000-0000-00002B000000}"/>
    <cellStyle name="_별첨2.구축견적서_050810" xfId="47" xr:uid="{00000000-0005-0000-0000-00002C000000}"/>
    <cellStyle name="_삼강SW(이태영)" xfId="48" xr:uid="{00000000-0005-0000-0000-00002D000000}"/>
    <cellStyle name="_신우정보기술(DL380R X3200DL580R)0624" xfId="49" xr:uid="{00000000-0005-0000-0000-00002E000000}"/>
    <cellStyle name="_온더아이티 - 현대카드(p55A, x366, x346, L4)0424" xfId="50" xr:uid="{00000000-0005-0000-0000-00002F000000}"/>
    <cellStyle name="_온더아이티 DL380_580  견적 050128" xfId="51" xr:uid="{00000000-0005-0000-0000-000030000000}"/>
    <cellStyle name="_온더아이티_20050125" xfId="52" xr:uid="{00000000-0005-0000-0000-000031000000}"/>
    <cellStyle name="_온더아이티_BS 서버견적" xfId="53" xr:uid="{00000000-0005-0000-0000-000032000000}"/>
    <cellStyle name="_온더아이티-LG마이크론(x345 356)0426" xfId="54" xr:uid="{00000000-0005-0000-0000-000033000000}"/>
    <cellStyle name="_전자메뉴얼 개선_견적서_060404" xfId="55" xr:uid="{00000000-0005-0000-0000-000034000000}"/>
    <cellStyle name="_제안 세부견적서(온더아이티)_060126" xfId="56" xr:uid="{00000000-0005-0000-0000-000035000000}"/>
    <cellStyle name="_제안견적서" xfId="57" xr:uid="{00000000-0005-0000-0000-000036000000}"/>
    <cellStyle name="_코비젼_국민은행@200401015_V0.4" xfId="58" xr:uid="{00000000-0005-0000-0000-000037000000}"/>
    <cellStyle name="_콜센터 상담지식관리시스템 구축견적서_050419(2)" xfId="59" xr:uid="{00000000-0005-0000-0000-000038000000}"/>
    <cellStyle name="¤@?e_TEST-1 " xfId="60" xr:uid="{00000000-0005-0000-0000-000039000000}"/>
    <cellStyle name="6mal" xfId="61" xr:uid="{00000000-0005-0000-0000-00003A000000}"/>
    <cellStyle name="AeE­ [0]_AMT " xfId="62" xr:uid="{00000000-0005-0000-0000-00003B000000}"/>
    <cellStyle name="ÅëÈ­ [0]_laroux" xfId="63" xr:uid="{00000000-0005-0000-0000-00003C000000}"/>
    <cellStyle name="AeE­_AMT " xfId="64" xr:uid="{00000000-0005-0000-0000-00003D000000}"/>
    <cellStyle name="ÅëÈ­_laroux" xfId="65" xr:uid="{00000000-0005-0000-0000-00003E000000}"/>
    <cellStyle name="args.style" xfId="66" xr:uid="{00000000-0005-0000-0000-00003F000000}"/>
    <cellStyle name="AÞ¸¶ [0]_AN°y(1.25) " xfId="67" xr:uid="{00000000-0005-0000-0000-000040000000}"/>
    <cellStyle name="ÄÞ¸¶ [0]_laroux" xfId="68" xr:uid="{00000000-0005-0000-0000-000041000000}"/>
    <cellStyle name="AÞ¸¶_AN°y(1.25) " xfId="69" xr:uid="{00000000-0005-0000-0000-000042000000}"/>
    <cellStyle name="ÄÞ¸¶_laroux" xfId="70" xr:uid="{00000000-0005-0000-0000-000043000000}"/>
    <cellStyle name="C￥AØ_≫c¾÷ºIº° AN°e " xfId="71" xr:uid="{00000000-0005-0000-0000-000044000000}"/>
    <cellStyle name="Ç¥ÁØ_laroux" xfId="72" xr:uid="{00000000-0005-0000-0000-000045000000}"/>
    <cellStyle name="Calc Currency (0)" xfId="73" xr:uid="{00000000-0005-0000-0000-000046000000}"/>
    <cellStyle name="Calculation 2" xfId="74" xr:uid="{00000000-0005-0000-0000-000047000000}"/>
    <cellStyle name="category" xfId="75" xr:uid="{00000000-0005-0000-0000-000048000000}"/>
    <cellStyle name="Comma" xfId="76" xr:uid="{00000000-0005-0000-0000-000049000000}"/>
    <cellStyle name="Comma [0]" xfId="77" xr:uid="{00000000-0005-0000-0000-00004A000000}"/>
    <cellStyle name="comma zerodec" xfId="78" xr:uid="{00000000-0005-0000-0000-00004B000000}"/>
    <cellStyle name="Comma_ SG&amp;A Bridge " xfId="79" xr:uid="{00000000-0005-0000-0000-00004C000000}"/>
    <cellStyle name="Copied" xfId="80" xr:uid="{00000000-0005-0000-0000-00004D000000}"/>
    <cellStyle name="Curren?_x0012_퐀_x0017_?" xfId="81" xr:uid="{00000000-0005-0000-0000-00004E000000}"/>
    <cellStyle name="Currency" xfId="82" xr:uid="{00000000-0005-0000-0000-00004F000000}"/>
    <cellStyle name="Currency [0]" xfId="83" xr:uid="{00000000-0005-0000-0000-000050000000}"/>
    <cellStyle name="Currency_ SG&amp;A Bridge " xfId="84" xr:uid="{00000000-0005-0000-0000-000051000000}"/>
    <cellStyle name="Currency1" xfId="85" xr:uid="{00000000-0005-0000-0000-000052000000}"/>
    <cellStyle name="Date" xfId="86" xr:uid="{00000000-0005-0000-0000-000053000000}"/>
    <cellStyle name="Dezimal [0]_Actual vs. Prior" xfId="87" xr:uid="{00000000-0005-0000-0000-000054000000}"/>
    <cellStyle name="Dezimal_Actual vs. Prior" xfId="88" xr:uid="{00000000-0005-0000-0000-000055000000}"/>
    <cellStyle name="Dollar (zero dec)" xfId="89" xr:uid="{00000000-0005-0000-0000-000056000000}"/>
    <cellStyle name="Entered" xfId="90" xr:uid="{00000000-0005-0000-0000-000057000000}"/>
    <cellStyle name="F2" xfId="91" xr:uid="{00000000-0005-0000-0000-000058000000}"/>
    <cellStyle name="F3" xfId="92" xr:uid="{00000000-0005-0000-0000-000059000000}"/>
    <cellStyle name="F4" xfId="93" xr:uid="{00000000-0005-0000-0000-00005A000000}"/>
    <cellStyle name="F5" xfId="94" xr:uid="{00000000-0005-0000-0000-00005B000000}"/>
    <cellStyle name="F6" xfId="95" xr:uid="{00000000-0005-0000-0000-00005C000000}"/>
    <cellStyle name="F7" xfId="96" xr:uid="{00000000-0005-0000-0000-00005D000000}"/>
    <cellStyle name="F8" xfId="97" xr:uid="{00000000-0005-0000-0000-00005E000000}"/>
    <cellStyle name="Fixed" xfId="98" xr:uid="{00000000-0005-0000-0000-00005F000000}"/>
    <cellStyle name="Grey" xfId="99" xr:uid="{00000000-0005-0000-0000-000060000000}"/>
    <cellStyle name="HEADER" xfId="100" xr:uid="{00000000-0005-0000-0000-000061000000}"/>
    <cellStyle name="Header1" xfId="101" xr:uid="{00000000-0005-0000-0000-000062000000}"/>
    <cellStyle name="Header2" xfId="102" xr:uid="{00000000-0005-0000-0000-000063000000}"/>
    <cellStyle name="Heading1" xfId="103" xr:uid="{00000000-0005-0000-0000-000064000000}"/>
    <cellStyle name="Heading2" xfId="104" xr:uid="{00000000-0005-0000-0000-000065000000}"/>
    <cellStyle name="Input [yellow]" xfId="105" xr:uid="{00000000-0005-0000-0000-000066000000}"/>
    <cellStyle name="Millares [0]_Asset Mgmt " xfId="106" xr:uid="{00000000-0005-0000-0000-000067000000}"/>
    <cellStyle name="Millares_Asset Mgmt " xfId="107" xr:uid="{00000000-0005-0000-0000-000068000000}"/>
    <cellStyle name="Milliers [0]_Arabian Spec" xfId="108" xr:uid="{00000000-0005-0000-0000-000069000000}"/>
    <cellStyle name="Milliers_Arabian Spec" xfId="109" xr:uid="{00000000-0005-0000-0000-00006A000000}"/>
    <cellStyle name="Model" xfId="110" xr:uid="{00000000-0005-0000-0000-00006B000000}"/>
    <cellStyle name="Mon?aire [0]_Arabian Spec" xfId="111" xr:uid="{00000000-0005-0000-0000-00006C000000}"/>
    <cellStyle name="Mon?aire_Arabian Spec" xfId="112" xr:uid="{00000000-0005-0000-0000-00006D000000}"/>
    <cellStyle name="Normal - Style1" xfId="113" xr:uid="{00000000-0005-0000-0000-00006E000000}"/>
    <cellStyle name="Normal 2" xfId="114" xr:uid="{00000000-0005-0000-0000-00006F000000}"/>
    <cellStyle name="Normal_ SG&amp;A Bridge " xfId="115" xr:uid="{00000000-0005-0000-0000-000070000000}"/>
    <cellStyle name="Œ…‹æØ‚è [0.00]_laroux" xfId="116" xr:uid="{00000000-0005-0000-0000-000071000000}"/>
    <cellStyle name="Œ…‹æØ‚è_laroux" xfId="117" xr:uid="{00000000-0005-0000-0000-000072000000}"/>
    <cellStyle name="Percent" xfId="118" xr:uid="{00000000-0005-0000-0000-000073000000}"/>
    <cellStyle name="Percent [2]" xfId="119" xr:uid="{00000000-0005-0000-0000-000074000000}"/>
    <cellStyle name="Percent_0302-ES-0603-0030_동우화인캠-코비젼견적서(20060323)-1" xfId="120" xr:uid="{00000000-0005-0000-0000-000075000000}"/>
    <cellStyle name="Standard_laroux" xfId="121" xr:uid="{00000000-0005-0000-0000-000076000000}"/>
    <cellStyle name="Style 1" xfId="122" xr:uid="{00000000-0005-0000-0000-000077000000}"/>
    <cellStyle name="subhead" xfId="123" xr:uid="{00000000-0005-0000-0000-000078000000}"/>
    <cellStyle name="Total" xfId="124" xr:uid="{00000000-0005-0000-0000-000079000000}"/>
    <cellStyle name="W?rung [0]_laroux" xfId="125" xr:uid="{00000000-0005-0000-0000-00007A000000}"/>
    <cellStyle name="W?rung_laroux" xfId="126" xr:uid="{00000000-0005-0000-0000-00007B000000}"/>
    <cellStyle name="고정소숫점" xfId="127" xr:uid="{00000000-0005-0000-0000-00007C000000}"/>
    <cellStyle name="고정출력1" xfId="128" xr:uid="{00000000-0005-0000-0000-00007D000000}"/>
    <cellStyle name="고정출력2" xfId="129" xr:uid="{00000000-0005-0000-0000-00007E000000}"/>
    <cellStyle name="날짜" xfId="130" xr:uid="{00000000-0005-0000-0000-00007F000000}"/>
    <cellStyle name="달러" xfId="131" xr:uid="{00000000-0005-0000-0000-000080000000}"/>
    <cellStyle name="뒤에 오는 하이퍼링크_구매이사님" xfId="132" xr:uid="{00000000-0005-0000-0000-000081000000}"/>
    <cellStyle name="똿뗦먛귟 [0.00]_PRODUCT DETAIL Q1" xfId="133" xr:uid="{00000000-0005-0000-0000-000082000000}"/>
    <cellStyle name="똿뗦먛귟_PRODUCT DETAIL Q1" xfId="134" xr:uid="{00000000-0005-0000-0000-000083000000}"/>
    <cellStyle name="믅됞 [0.00]_fcs1" xfId="135" xr:uid="{00000000-0005-0000-0000-000084000000}"/>
    <cellStyle name="믅됞_fcs1" xfId="136" xr:uid="{00000000-0005-0000-0000-000085000000}"/>
    <cellStyle name="백분율 2" xfId="137" xr:uid="{00000000-0005-0000-0000-000086000000}"/>
    <cellStyle name="뷭?_BOOKSHIP" xfId="138" xr:uid="{00000000-0005-0000-0000-000087000000}"/>
    <cellStyle name="常规_OPTION_9910" xfId="139" xr:uid="{00000000-0005-0000-0000-000088000000}"/>
    <cellStyle name="숫자(R)" xfId="140" xr:uid="{00000000-0005-0000-0000-000089000000}"/>
    <cellStyle name="쉼표 [0] 2" xfId="141" xr:uid="{00000000-0005-0000-0000-00008A000000}"/>
    <cellStyle name="쉼표 [0] 2 2" xfId="181" xr:uid="{E82BFC54-3BC8-43E5-ADD7-02881E47C2C7}"/>
    <cellStyle name="쉼표 [0] 3" xfId="142" xr:uid="{00000000-0005-0000-0000-00008B000000}"/>
    <cellStyle name="쉼표 [0] 4" xfId="2" xr:uid="{00000000-0005-0000-0000-00008C000000}"/>
    <cellStyle name="쉼표 [0] 4 2" xfId="180" xr:uid="{76A83AF4-701E-4117-B581-AEDF129F8C86}"/>
    <cellStyle name="쉼표 [0] 5" xfId="164" xr:uid="{00000000-0005-0000-0000-00008D000000}"/>
    <cellStyle name="쉼표 [0] 5 2" xfId="185" xr:uid="{3FF8936D-134B-4DE3-B47C-28B0BED204B7}"/>
    <cellStyle name="스타일 1" xfId="143" xr:uid="{00000000-0005-0000-0000-00008E000000}"/>
    <cellStyle name="안건회계법인" xfId="144" xr:uid="{00000000-0005-0000-0000-00008F000000}"/>
    <cellStyle name="자리수" xfId="145" xr:uid="{00000000-0005-0000-0000-000090000000}"/>
    <cellStyle name="자리수 - 유형1" xfId="146" xr:uid="{00000000-0005-0000-0000-000091000000}"/>
    <cellStyle name="자리수_롯데레몬 사이트 개발 견적서02-10-29" xfId="147" xr:uid="{00000000-0005-0000-0000-000092000000}"/>
    <cellStyle name="자리수0" xfId="148" xr:uid="{00000000-0005-0000-0000-000093000000}"/>
    <cellStyle name="지정되지 않음" xfId="149" xr:uid="{00000000-0005-0000-0000-000094000000}"/>
    <cellStyle name="콤마 [0]_ 견적기준 FLOW " xfId="150" xr:uid="{00000000-0005-0000-0000-000095000000}"/>
    <cellStyle name="콤마_ 견적기준 FLOW " xfId="151" xr:uid="{00000000-0005-0000-0000-000096000000}"/>
    <cellStyle name="통화 [0] 2" xfId="152" xr:uid="{00000000-0005-0000-0000-000097000000}"/>
    <cellStyle name="통화 [0] 2 2" xfId="182" xr:uid="{C6BCD559-B0CC-4E88-8FA4-F6D95405E7AF}"/>
    <cellStyle name="통화 [0] 3" xfId="153" xr:uid="{00000000-0005-0000-0000-000098000000}"/>
    <cellStyle name="통화 [0] 3 2" xfId="183" xr:uid="{0EF03EF7-72CE-4203-B0D6-41AB45B9504B}"/>
    <cellStyle name="통화 [0] 4" xfId="162" xr:uid="{00000000-0005-0000-0000-000099000000}"/>
    <cellStyle name="통화 [0] 4 2" xfId="184" xr:uid="{50BCC0BE-BD7D-4614-B40E-66A9A110ECA0}"/>
    <cellStyle name="퍼센트" xfId="154" xr:uid="{00000000-0005-0000-0000-00009A000000}"/>
    <cellStyle name="표준" xfId="0" builtinId="0"/>
    <cellStyle name="표준 2" xfId="155" xr:uid="{00000000-0005-0000-0000-00009C000000}"/>
    <cellStyle name="표준 2 2" xfId="156" xr:uid="{00000000-0005-0000-0000-00009D000000}"/>
    <cellStyle name="표준 3" xfId="157" xr:uid="{00000000-0005-0000-0000-00009E000000}"/>
    <cellStyle name="표준 4" xfId="1" xr:uid="{00000000-0005-0000-0000-00009F000000}"/>
    <cellStyle name="표준 4 2" xfId="179" xr:uid="{99DB7FBA-A210-4940-9175-C6893FEDBCCE}"/>
    <cellStyle name="표준 5" xfId="163" xr:uid="{00000000-0005-0000-0000-0000A0000000}"/>
    <cellStyle name="표준 6" xfId="165" xr:uid="{00000000-0005-0000-0000-0000A1000000}"/>
    <cellStyle name="표준 6 10" xfId="199" xr:uid="{1C562D60-E7BE-4ABC-BD2E-8BB4B0097AC1}"/>
    <cellStyle name="표준 6 11" xfId="186" xr:uid="{050CC13F-5DC9-4BA8-9895-A251F75EECCE}"/>
    <cellStyle name="표준 6 12" xfId="200" xr:uid="{56FDC3B0-A05C-49DF-87E1-FC4BDBCF688F}"/>
    <cellStyle name="표준 6 13" xfId="202" xr:uid="{7AFDC6C0-036F-4506-95B1-D25B757B83A1}"/>
    <cellStyle name="표준 6 14" xfId="204" xr:uid="{4AE17550-1CE2-4543-95A1-8F357D59DA65}"/>
    <cellStyle name="표준 6 2" xfId="168" xr:uid="{00000000-0005-0000-0000-0000A2000000}"/>
    <cellStyle name="표준 6 2 2" xfId="189" xr:uid="{D285B87E-0827-4E20-801E-7BBC19E3E4AD}"/>
    <cellStyle name="표준 6 24" xfId="201" xr:uid="{54D6D3A2-DF92-4485-97B5-8553C6DFE899}"/>
    <cellStyle name="표준 6 24 2 2" xfId="203" xr:uid="{BDD00BD0-ADB7-4669-9F5E-0394D572BBC5}"/>
    <cellStyle name="표준 6 24 2 2 2" xfId="205" xr:uid="{D9A1BC30-A0FF-4AB5-A950-36DFDF48DF8C}"/>
    <cellStyle name="표준 6 3" xfId="169" xr:uid="{00000000-0005-0000-0000-0000A3000000}"/>
    <cellStyle name="표준 6 3 2" xfId="178" xr:uid="{1E15A26E-C81E-4919-A5B0-6C720D9478B7}"/>
    <cellStyle name="표준 6 3 2 2" xfId="198" xr:uid="{93B13488-2686-457F-A305-1F09C61A4C86}"/>
    <cellStyle name="표준 6 3 3" xfId="190" xr:uid="{04202129-22AA-4086-9552-F3B93C1B3DC7}"/>
    <cellStyle name="표준 6 4" xfId="171" xr:uid="{00000000-0005-0000-0000-0000A4000000}"/>
    <cellStyle name="표준 6 4 2" xfId="191" xr:uid="{7F354866-EA39-4E4E-B063-1B2F736E96BF}"/>
    <cellStyle name="표준 6 5" xfId="172" xr:uid="{00000000-0005-0000-0000-0000A5000000}"/>
    <cellStyle name="표준 6 5 2" xfId="192" xr:uid="{E8ED9248-4937-4D66-96A3-3C937138AB4D}"/>
    <cellStyle name="표준 6 6" xfId="173" xr:uid="{00000000-0005-0000-0000-0000A6000000}"/>
    <cellStyle name="표준 6 6 2" xfId="193" xr:uid="{1D729453-8070-43DE-997D-310386755A92}"/>
    <cellStyle name="표준 6 7" xfId="174" xr:uid="{00000000-0005-0000-0000-0000A7000000}"/>
    <cellStyle name="표준 6 7 2" xfId="194" xr:uid="{5A1A0DE7-77A1-4739-9FF4-7B7250BD6783}"/>
    <cellStyle name="표준 6 8" xfId="175" xr:uid="{00000000-0005-0000-0000-0000A8000000}"/>
    <cellStyle name="표준 6 8 2" xfId="195" xr:uid="{03670760-8A22-4420-BBC4-92DDD8422B31}"/>
    <cellStyle name="표준 6 9" xfId="176" xr:uid="{00000000-0005-0000-0000-0000A9000000}"/>
    <cellStyle name="표준 6 9 2" xfId="196" xr:uid="{2DD6B494-FAC7-46D8-90EC-8AD5AB841856}"/>
    <cellStyle name="표준 7" xfId="166" xr:uid="{00000000-0005-0000-0000-0000AA000000}"/>
    <cellStyle name="표준 7 2" xfId="187" xr:uid="{E8E2A221-CB45-49DA-96B3-15DC0F6E374F}"/>
    <cellStyle name="표준 8" xfId="167" xr:uid="{00000000-0005-0000-0000-0000AB000000}"/>
    <cellStyle name="표준 8 2" xfId="177" xr:uid="{00000000-0005-0000-0000-0000AC000000}"/>
    <cellStyle name="표준 8 2 2" xfId="197" xr:uid="{2DC051F1-9411-4904-BA16-C8EDB4C3B928}"/>
    <cellStyle name="표준 8 3" xfId="188" xr:uid="{32D76F7F-D137-4835-8EE0-2436B551252E}"/>
    <cellStyle name="표준 9" xfId="170" xr:uid="{00000000-0005-0000-0000-0000AD000000}"/>
    <cellStyle name="하이퍼링크 2" xfId="158" xr:uid="{00000000-0005-0000-0000-0000AE000000}"/>
    <cellStyle name="합산" xfId="159" xr:uid="{00000000-0005-0000-0000-0000AF000000}"/>
    <cellStyle name="화폐기호" xfId="160" xr:uid="{00000000-0005-0000-0000-0000B0000000}"/>
    <cellStyle name="화폐기호0" xfId="161" xr:uid="{00000000-0005-0000-0000-0000B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C002A-5FD6-4C67-808A-7C6966B6428F}">
  <sheetPr>
    <pageSetUpPr fitToPage="1"/>
  </sheetPr>
  <dimension ref="A1:B62"/>
  <sheetViews>
    <sheetView topLeftCell="A35" zoomScale="115" zoomScaleNormal="115" workbookViewId="0">
      <selection activeCell="B47" sqref="B47"/>
    </sheetView>
  </sheetViews>
  <sheetFormatPr defaultColWidth="9.140625" defaultRowHeight="13.5"/>
  <cols>
    <col min="1" max="1" width="32.7109375" style="117" customWidth="1"/>
    <col min="2" max="2" width="157.5703125" style="117" bestFit="1" customWidth="1"/>
    <col min="3" max="16384" width="9.140625" style="117"/>
  </cols>
  <sheetData>
    <row r="1" spans="1:2" ht="31.5">
      <c r="A1" s="142" t="s">
        <v>289</v>
      </c>
      <c r="B1" s="142"/>
    </row>
    <row r="3" spans="1:2" s="119" customFormat="1">
      <c r="A3" s="118" t="s">
        <v>290</v>
      </c>
    </row>
    <row r="4" spans="1:2" s="119" customFormat="1">
      <c r="A4" s="118"/>
    </row>
    <row r="5" spans="1:2" ht="17.25">
      <c r="A5" s="120" t="s">
        <v>291</v>
      </c>
    </row>
    <row r="6" spans="1:2">
      <c r="A6" s="121" t="s">
        <v>292</v>
      </c>
      <c r="B6" s="122" t="s">
        <v>293</v>
      </c>
    </row>
    <row r="7" spans="1:2">
      <c r="A7" s="121" t="s">
        <v>294</v>
      </c>
      <c r="B7" s="123">
        <f ca="1">TODAY()</f>
        <v>46057</v>
      </c>
    </row>
    <row r="8" spans="1:2">
      <c r="A8" s="121" t="s">
        <v>295</v>
      </c>
      <c r="B8" s="123" t="s">
        <v>296</v>
      </c>
    </row>
    <row r="9" spans="1:2" ht="17.25">
      <c r="A9" s="120"/>
    </row>
    <row r="10" spans="1:2">
      <c r="A10" s="124"/>
    </row>
    <row r="11" spans="1:2" ht="17.25">
      <c r="A11" s="120" t="s">
        <v>297</v>
      </c>
    </row>
    <row r="12" spans="1:2">
      <c r="A12" s="121" t="s">
        <v>298</v>
      </c>
      <c r="B12" s="122" t="s">
        <v>299</v>
      </c>
    </row>
    <row r="13" spans="1:2">
      <c r="A13" s="121" t="s">
        <v>300</v>
      </c>
      <c r="B13" s="122" t="s">
        <v>301</v>
      </c>
    </row>
    <row r="14" spans="1:2">
      <c r="A14" s="121" t="s">
        <v>302</v>
      </c>
      <c r="B14" s="125"/>
    </row>
    <row r="15" spans="1:2">
      <c r="A15" s="126" t="s">
        <v>303</v>
      </c>
    </row>
    <row r="16" spans="1:2">
      <c r="A16" s="126"/>
    </row>
    <row r="17" spans="1:2">
      <c r="A17" s="121" t="s">
        <v>304</v>
      </c>
      <c r="B17" s="122" t="s">
        <v>305</v>
      </c>
    </row>
    <row r="18" spans="1:2">
      <c r="A18" s="126" t="s">
        <v>306</v>
      </c>
    </row>
    <row r="19" spans="1:2">
      <c r="A19" s="126"/>
    </row>
    <row r="20" spans="1:2">
      <c r="A20" s="121" t="s">
        <v>307</v>
      </c>
      <c r="B20" s="127" t="s">
        <v>349</v>
      </c>
    </row>
    <row r="21" spans="1:2">
      <c r="A21" s="126" t="s">
        <v>308</v>
      </c>
    </row>
    <row r="22" spans="1:2">
      <c r="A22" s="126"/>
    </row>
    <row r="23" spans="1:2">
      <c r="A23" s="121" t="s">
        <v>309</v>
      </c>
      <c r="B23" s="128" t="s">
        <v>310</v>
      </c>
    </row>
    <row r="24" spans="1:2">
      <c r="A24" s="126" t="s">
        <v>311</v>
      </c>
    </row>
    <row r="25" spans="1:2">
      <c r="A25" s="126"/>
    </row>
    <row r="26" spans="1:2">
      <c r="A26" s="121" t="s">
        <v>312</v>
      </c>
      <c r="B26" s="122" t="s">
        <v>310</v>
      </c>
    </row>
    <row r="27" spans="1:2">
      <c r="A27" s="126" t="s">
        <v>313</v>
      </c>
    </row>
    <row r="28" spans="1:2">
      <c r="A28" s="126" t="s">
        <v>314</v>
      </c>
    </row>
    <row r="29" spans="1:2">
      <c r="A29" s="126"/>
    </row>
    <row r="30" spans="1:2">
      <c r="A30" s="121" t="s">
        <v>315</v>
      </c>
    </row>
    <row r="31" spans="1:2">
      <c r="A31" s="126" t="s">
        <v>316</v>
      </c>
    </row>
    <row r="32" spans="1:2">
      <c r="A32" s="126" t="s">
        <v>317</v>
      </c>
    </row>
    <row r="33" spans="1:2">
      <c r="A33" s="126" t="s">
        <v>318</v>
      </c>
    </row>
    <row r="34" spans="1:2">
      <c r="A34" s="126"/>
      <c r="B34" s="129"/>
    </row>
    <row r="35" spans="1:2">
      <c r="A35" s="126"/>
      <c r="B35" s="129"/>
    </row>
    <row r="36" spans="1:2">
      <c r="A36" s="126"/>
    </row>
    <row r="37" spans="1:2">
      <c r="A37" s="121" t="s">
        <v>319</v>
      </c>
    </row>
    <row r="38" spans="1:2" ht="15.6" customHeight="1">
      <c r="A38" s="126" t="s">
        <v>320</v>
      </c>
      <c r="B38" s="130" t="s">
        <v>321</v>
      </c>
    </row>
    <row r="39" spans="1:2">
      <c r="A39" s="126" t="s">
        <v>322</v>
      </c>
      <c r="B39" s="125" t="s">
        <v>323</v>
      </c>
    </row>
    <row r="40" spans="1:2">
      <c r="A40" s="126" t="s">
        <v>324</v>
      </c>
      <c r="B40" s="122" t="s">
        <v>325</v>
      </c>
    </row>
    <row r="41" spans="1:2">
      <c r="A41" s="126" t="s">
        <v>326</v>
      </c>
      <c r="B41" s="122" t="s">
        <v>327</v>
      </c>
    </row>
    <row r="42" spans="1:2">
      <c r="A42" s="126" t="s">
        <v>328</v>
      </c>
      <c r="B42" s="122"/>
    </row>
    <row r="43" spans="1:2">
      <c r="A43" s="126" t="s">
        <v>329</v>
      </c>
      <c r="B43" s="131" t="s">
        <v>330</v>
      </c>
    </row>
    <row r="44" spans="1:2">
      <c r="A44" s="126"/>
      <c r="B44" s="132"/>
    </row>
    <row r="45" spans="1:2">
      <c r="A45" s="121" t="s">
        <v>331</v>
      </c>
    </row>
    <row r="46" spans="1:2">
      <c r="A46" s="133" t="s">
        <v>332</v>
      </c>
    </row>
    <row r="47" spans="1:2" ht="287.25" customHeight="1">
      <c r="A47" s="133" t="s">
        <v>333</v>
      </c>
      <c r="B47" s="134" t="s">
        <v>350</v>
      </c>
    </row>
    <row r="48" spans="1:2">
      <c r="A48" s="126"/>
    </row>
    <row r="49" spans="1:2" ht="382.5" customHeight="1">
      <c r="A49" s="133" t="s">
        <v>334</v>
      </c>
      <c r="B49" s="135" t="s">
        <v>351</v>
      </c>
    </row>
    <row r="50" spans="1:2">
      <c r="A50" s="126"/>
      <c r="B50" s="136"/>
    </row>
    <row r="51" spans="1:2">
      <c r="A51" s="126"/>
    </row>
    <row r="52" spans="1:2">
      <c r="A52" s="121" t="s">
        <v>335</v>
      </c>
    </row>
    <row r="53" spans="1:2" ht="69" customHeight="1">
      <c r="A53" s="133" t="s">
        <v>336</v>
      </c>
      <c r="B53" s="135" t="s">
        <v>352</v>
      </c>
    </row>
    <row r="54" spans="1:2">
      <c r="A54" s="133"/>
      <c r="B54" s="124"/>
    </row>
    <row r="55" spans="1:2">
      <c r="A55" s="126"/>
    </row>
    <row r="56" spans="1:2">
      <c r="A56" s="133" t="s">
        <v>337</v>
      </c>
      <c r="B56" s="137" t="s">
        <v>338</v>
      </c>
    </row>
    <row r="57" spans="1:2">
      <c r="A57" s="126"/>
      <c r="B57" s="124"/>
    </row>
    <row r="58" spans="1:2">
      <c r="A58" s="126"/>
      <c r="B58" s="124"/>
    </row>
    <row r="59" spans="1:2">
      <c r="A59" s="126"/>
      <c r="B59" s="124"/>
    </row>
    <row r="62" spans="1:2">
      <c r="A62" s="138" t="s">
        <v>339</v>
      </c>
    </row>
  </sheetData>
  <mergeCells count="1">
    <mergeCell ref="A1:B1"/>
  </mergeCells>
  <phoneticPr fontId="27" type="noConversion"/>
  <pageMargins left="0.70866141732283472" right="0.70866141732283472" top="0.74803149606299213" bottom="0.74803149606299213" header="0.31496062992125984" footer="0.31496062992125984"/>
  <pageSetup paperSize="9" scale="72"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K55"/>
  <sheetViews>
    <sheetView tabSelected="1" topLeftCell="A41" zoomScaleNormal="100" workbookViewId="0">
      <selection activeCell="B8" sqref="B8:H50"/>
    </sheetView>
  </sheetViews>
  <sheetFormatPr defaultColWidth="9.140625" defaultRowHeight="16.5"/>
  <cols>
    <col min="1" max="1" width="3.5703125" style="6" customWidth="1"/>
    <col min="2" max="2" width="6.5703125" style="6" customWidth="1"/>
    <col min="3" max="3" width="10.42578125" style="6" customWidth="1"/>
    <col min="4" max="7" width="15.5703125" style="6" customWidth="1"/>
    <col min="8" max="8" width="66.5703125" style="6" customWidth="1"/>
    <col min="9" max="9" width="75" style="7" customWidth="1"/>
    <col min="10" max="10" width="41.5703125" style="4" customWidth="1"/>
    <col min="11" max="11" width="35.5703125" style="6" customWidth="1"/>
    <col min="12" max="16384" width="9.140625" style="6"/>
  </cols>
  <sheetData>
    <row r="1" spans="2:10">
      <c r="B1" s="53" t="s">
        <v>113</v>
      </c>
    </row>
    <row r="2" spans="2:10">
      <c r="B2" s="53" t="s">
        <v>124</v>
      </c>
    </row>
    <row r="3" spans="2:10">
      <c r="B3" s="61" t="s">
        <v>154</v>
      </c>
    </row>
    <row r="4" spans="2:10">
      <c r="B4" s="53" t="s">
        <v>115</v>
      </c>
    </row>
    <row r="5" spans="2:10">
      <c r="B5" s="53" t="s">
        <v>116</v>
      </c>
    </row>
    <row r="6" spans="2:10">
      <c r="B6" s="53" t="s">
        <v>126</v>
      </c>
    </row>
    <row r="7" spans="2:10">
      <c r="B7" s="53"/>
    </row>
    <row r="8" spans="2:10">
      <c r="B8" s="115" t="s">
        <v>340</v>
      </c>
    </row>
    <row r="9" spans="2:10">
      <c r="B9" s="140" t="s">
        <v>353</v>
      </c>
    </row>
    <row r="10" spans="2:10">
      <c r="B10" s="115" t="s">
        <v>341</v>
      </c>
    </row>
    <row r="11" spans="2:10">
      <c r="B11" s="102" t="s">
        <v>285</v>
      </c>
    </row>
    <row r="12" spans="2:10">
      <c r="B12" s="32"/>
      <c r="C12" s="34" t="s">
        <v>345</v>
      </c>
      <c r="D12" s="114"/>
    </row>
    <row r="13" spans="2:10">
      <c r="I13" s="8" t="s">
        <v>357</v>
      </c>
    </row>
    <row r="14" spans="2:10" ht="20.100000000000001" customHeight="1">
      <c r="B14" s="9" t="s">
        <v>73</v>
      </c>
      <c r="C14" s="150" t="s">
        <v>82</v>
      </c>
      <c r="D14" s="151"/>
      <c r="E14" s="27" t="s">
        <v>132</v>
      </c>
      <c r="F14" s="27" t="s">
        <v>114</v>
      </c>
      <c r="G14" s="27" t="s">
        <v>149</v>
      </c>
      <c r="H14" s="27" t="s">
        <v>128</v>
      </c>
      <c r="I14" s="10" t="s">
        <v>129</v>
      </c>
    </row>
    <row r="15" spans="2:10" ht="54">
      <c r="B15" s="11">
        <v>1</v>
      </c>
      <c r="C15" s="152" t="s">
        <v>83</v>
      </c>
      <c r="D15" s="153"/>
      <c r="E15" s="12">
        <v>4</v>
      </c>
      <c r="F15" s="12"/>
      <c r="G15" s="12"/>
      <c r="H15" s="21" t="s">
        <v>286</v>
      </c>
      <c r="I15" s="19" t="s">
        <v>155</v>
      </c>
    </row>
    <row r="16" spans="2:10" ht="364.5">
      <c r="B16" s="14">
        <v>2</v>
      </c>
      <c r="C16" s="152" t="s">
        <v>98</v>
      </c>
      <c r="D16" s="153"/>
      <c r="E16" s="35">
        <v>0.75</v>
      </c>
      <c r="F16" s="35"/>
      <c r="G16" s="35"/>
      <c r="H16" s="54" t="s">
        <v>355</v>
      </c>
      <c r="I16" s="19" t="s">
        <v>147</v>
      </c>
      <c r="J16" s="15"/>
    </row>
    <row r="17" spans="2:11" ht="27">
      <c r="B17" s="14">
        <v>3</v>
      </c>
      <c r="C17" s="152" t="s">
        <v>84</v>
      </c>
      <c r="D17" s="153"/>
      <c r="E17" s="12">
        <v>0.25</v>
      </c>
      <c r="F17" s="12"/>
      <c r="G17" s="12"/>
      <c r="H17" s="55" t="s">
        <v>130</v>
      </c>
      <c r="I17" s="13" t="s">
        <v>148</v>
      </c>
    </row>
    <row r="18" spans="2:11" ht="40.5">
      <c r="B18" s="11">
        <v>4</v>
      </c>
      <c r="C18" s="152" t="s">
        <v>85</v>
      </c>
      <c r="D18" s="153"/>
      <c r="E18" s="36">
        <v>1</v>
      </c>
      <c r="F18" s="36"/>
      <c r="G18" s="36"/>
      <c r="H18" s="139" t="s">
        <v>356</v>
      </c>
      <c r="I18" s="13" t="s">
        <v>150</v>
      </c>
      <c r="J18" s="30"/>
    </row>
    <row r="19" spans="2:11" ht="108">
      <c r="B19" s="143">
        <v>5</v>
      </c>
      <c r="C19" s="149" t="s">
        <v>86</v>
      </c>
      <c r="D19" s="11" t="s">
        <v>99</v>
      </c>
      <c r="E19" s="12">
        <v>2.4500000000000002</v>
      </c>
      <c r="F19" s="12"/>
      <c r="G19" s="12"/>
      <c r="H19" s="13" t="s">
        <v>362</v>
      </c>
      <c r="I19" s="13" t="s">
        <v>131</v>
      </c>
      <c r="J19" s="29"/>
    </row>
    <row r="20" spans="2:11" ht="99.95" customHeight="1">
      <c r="B20" s="144"/>
      <c r="C20" s="149"/>
      <c r="D20" s="11" t="s">
        <v>110</v>
      </c>
      <c r="E20" s="12"/>
      <c r="F20" s="12"/>
      <c r="G20" s="12"/>
      <c r="H20" s="55"/>
      <c r="I20" s="154" t="s">
        <v>152</v>
      </c>
      <c r="J20" s="29"/>
    </row>
    <row r="21" spans="2:11" ht="99.95" customHeight="1">
      <c r="B21" s="144"/>
      <c r="C21" s="149"/>
      <c r="D21" s="58" t="s">
        <v>151</v>
      </c>
      <c r="E21" s="12"/>
      <c r="F21" s="12"/>
      <c r="G21" s="12"/>
      <c r="H21" s="13"/>
      <c r="I21" s="155"/>
      <c r="J21" s="29"/>
    </row>
    <row r="22" spans="2:11">
      <c r="B22" s="145"/>
      <c r="C22" s="149"/>
      <c r="D22" s="21"/>
      <c r="E22" s="12"/>
      <c r="F22" s="12"/>
      <c r="G22" s="12"/>
      <c r="H22" s="12"/>
      <c r="I22" s="37"/>
    </row>
    <row r="23" spans="2:11">
      <c r="B23" s="143">
        <v>6</v>
      </c>
      <c r="C23" s="146" t="s">
        <v>87</v>
      </c>
      <c r="D23" s="31" t="s">
        <v>133</v>
      </c>
      <c r="E23" s="12">
        <v>0.5</v>
      </c>
      <c r="F23" s="12"/>
      <c r="G23" s="12"/>
      <c r="H23" s="55" t="s">
        <v>342</v>
      </c>
      <c r="I23" s="13" t="s">
        <v>287</v>
      </c>
      <c r="J23" s="20"/>
      <c r="K23" s="28"/>
    </row>
    <row r="24" spans="2:11">
      <c r="B24" s="145"/>
      <c r="C24" s="148"/>
      <c r="D24" s="31"/>
      <c r="E24" s="12"/>
      <c r="F24" s="12"/>
      <c r="G24" s="12"/>
      <c r="H24" s="12"/>
      <c r="I24" s="19"/>
      <c r="J24" s="20"/>
      <c r="K24" s="28"/>
    </row>
    <row r="25" spans="2:11" ht="27">
      <c r="B25" s="143">
        <v>7</v>
      </c>
      <c r="C25" s="146" t="s">
        <v>88</v>
      </c>
      <c r="D25" s="16" t="s">
        <v>89</v>
      </c>
      <c r="E25" s="12">
        <v>0.35</v>
      </c>
      <c r="F25" s="12"/>
      <c r="G25" s="12"/>
      <c r="H25" s="55" t="s">
        <v>146</v>
      </c>
      <c r="I25" s="13" t="s">
        <v>134</v>
      </c>
      <c r="J25" s="18"/>
    </row>
    <row r="26" spans="2:11" ht="162">
      <c r="B26" s="144"/>
      <c r="C26" s="147"/>
      <c r="D26" s="16" t="s">
        <v>90</v>
      </c>
      <c r="E26" s="33">
        <v>1.1000000000000001</v>
      </c>
      <c r="F26" s="33"/>
      <c r="G26" s="33"/>
      <c r="H26" s="116" t="s">
        <v>360</v>
      </c>
      <c r="I26" s="19" t="s">
        <v>156</v>
      </c>
      <c r="J26" s="29"/>
    </row>
    <row r="27" spans="2:11" ht="27">
      <c r="B27" s="144"/>
      <c r="C27" s="147"/>
      <c r="D27" s="16" t="s">
        <v>76</v>
      </c>
      <c r="E27" s="12">
        <v>0.3</v>
      </c>
      <c r="F27" s="12"/>
      <c r="G27" s="12"/>
      <c r="H27" s="55" t="s">
        <v>145</v>
      </c>
      <c r="I27" s="13" t="s">
        <v>135</v>
      </c>
      <c r="J27" s="20"/>
      <c r="K27" s="15"/>
    </row>
    <row r="28" spans="2:11">
      <c r="B28" s="145"/>
      <c r="C28" s="148"/>
      <c r="D28" s="16"/>
      <c r="E28" s="12"/>
      <c r="F28" s="12"/>
      <c r="G28" s="12"/>
      <c r="H28" s="12"/>
      <c r="I28" s="19"/>
      <c r="J28" s="20"/>
      <c r="K28" s="15"/>
    </row>
    <row r="29" spans="2:11">
      <c r="B29" s="14">
        <v>8</v>
      </c>
      <c r="C29" s="57" t="s">
        <v>94</v>
      </c>
      <c r="D29" s="51"/>
      <c r="E29" s="12"/>
      <c r="F29" s="12"/>
      <c r="G29" s="12"/>
      <c r="H29" s="101"/>
      <c r="I29" s="19"/>
      <c r="J29" s="20"/>
      <c r="K29" s="15"/>
    </row>
    <row r="30" spans="2:11" ht="27">
      <c r="B30" s="11">
        <v>9</v>
      </c>
      <c r="C30" s="16" t="s">
        <v>101</v>
      </c>
      <c r="D30" s="17" t="s">
        <v>138</v>
      </c>
      <c r="E30" s="12">
        <v>0.5</v>
      </c>
      <c r="F30" s="12"/>
      <c r="G30" s="12"/>
      <c r="H30" s="21" t="s">
        <v>358</v>
      </c>
      <c r="I30" s="13" t="s">
        <v>153</v>
      </c>
    </row>
    <row r="31" spans="2:11" ht="27">
      <c r="B31" s="143">
        <v>10</v>
      </c>
      <c r="C31" s="146" t="s">
        <v>92</v>
      </c>
      <c r="D31" s="17" t="s">
        <v>288</v>
      </c>
      <c r="E31" s="12">
        <v>0.25</v>
      </c>
      <c r="F31" s="12"/>
      <c r="G31" s="12"/>
      <c r="H31" s="141" t="s">
        <v>361</v>
      </c>
      <c r="I31" s="13" t="s">
        <v>159</v>
      </c>
      <c r="J31" s="5"/>
    </row>
    <row r="32" spans="2:11">
      <c r="B32" s="144"/>
      <c r="C32" s="147"/>
      <c r="D32" s="17" t="s">
        <v>354</v>
      </c>
      <c r="E32" s="12">
        <v>0.25</v>
      </c>
      <c r="F32" s="12"/>
      <c r="G32" s="12"/>
      <c r="H32" s="12" t="s">
        <v>283</v>
      </c>
      <c r="I32" s="13" t="s">
        <v>159</v>
      </c>
      <c r="J32" s="5"/>
    </row>
    <row r="33" spans="2:10" ht="27">
      <c r="B33" s="143">
        <v>11</v>
      </c>
      <c r="C33" s="149" t="s">
        <v>107</v>
      </c>
      <c r="D33" s="51" t="s">
        <v>108</v>
      </c>
      <c r="E33" s="12">
        <v>0.3</v>
      </c>
      <c r="F33" s="12"/>
      <c r="G33" s="12"/>
      <c r="H33" s="21" t="s">
        <v>359</v>
      </c>
      <c r="I33" s="13" t="s">
        <v>127</v>
      </c>
      <c r="J33" s="5"/>
    </row>
    <row r="34" spans="2:10" ht="27">
      <c r="B34" s="145"/>
      <c r="C34" s="149"/>
      <c r="D34" s="51" t="s">
        <v>109</v>
      </c>
      <c r="E34" s="12">
        <f>'양식 공수'!E21</f>
        <v>0.1</v>
      </c>
      <c r="F34" s="12"/>
      <c r="G34" s="12"/>
      <c r="H34" s="141" t="s">
        <v>361</v>
      </c>
      <c r="I34" s="13"/>
      <c r="J34" s="5"/>
    </row>
    <row r="35" spans="2:10" ht="40.5">
      <c r="B35" s="143">
        <v>13</v>
      </c>
      <c r="C35" s="146" t="s">
        <v>95</v>
      </c>
      <c r="D35" s="17" t="s">
        <v>139</v>
      </c>
      <c r="E35" s="12"/>
      <c r="F35" s="12"/>
      <c r="G35" s="12"/>
      <c r="H35" s="12"/>
      <c r="I35" s="19" t="s">
        <v>125</v>
      </c>
    </row>
    <row r="36" spans="2:10">
      <c r="B36" s="144"/>
      <c r="C36" s="147"/>
      <c r="D36" s="17" t="s">
        <v>140</v>
      </c>
      <c r="E36" s="12"/>
      <c r="F36" s="12"/>
      <c r="G36" s="12"/>
      <c r="H36" s="12"/>
      <c r="I36" s="19" t="s">
        <v>141</v>
      </c>
    </row>
    <row r="37" spans="2:10">
      <c r="B37" s="145"/>
      <c r="C37" s="148"/>
      <c r="D37" s="17" t="s">
        <v>162</v>
      </c>
      <c r="E37" s="12"/>
      <c r="F37" s="12"/>
      <c r="G37" s="12"/>
      <c r="H37" s="12"/>
      <c r="I37" s="19"/>
    </row>
    <row r="38" spans="2:10">
      <c r="B38" s="143">
        <v>14</v>
      </c>
      <c r="C38" s="146" t="s">
        <v>91</v>
      </c>
      <c r="D38" s="17"/>
      <c r="E38" s="12"/>
      <c r="F38" s="12"/>
      <c r="G38" s="12"/>
      <c r="H38" s="12"/>
      <c r="I38" s="13"/>
    </row>
    <row r="39" spans="2:10">
      <c r="B39" s="145"/>
      <c r="C39" s="148"/>
      <c r="D39" s="17"/>
      <c r="E39" s="12"/>
      <c r="F39" s="12"/>
      <c r="G39" s="12"/>
      <c r="H39" s="12"/>
      <c r="I39" s="13"/>
    </row>
    <row r="40" spans="2:10">
      <c r="B40" s="143">
        <v>15</v>
      </c>
      <c r="C40" s="36" t="s">
        <v>118</v>
      </c>
      <c r="D40" s="17"/>
      <c r="E40" s="12"/>
      <c r="F40" s="12"/>
      <c r="G40" s="12"/>
      <c r="H40" s="12"/>
      <c r="I40" s="13" t="s">
        <v>157</v>
      </c>
    </row>
    <row r="41" spans="2:10">
      <c r="B41" s="144"/>
      <c r="C41" s="36" t="s">
        <v>119</v>
      </c>
      <c r="D41" s="17"/>
      <c r="E41" s="12"/>
      <c r="F41" s="12"/>
      <c r="H41" s="12"/>
      <c r="I41" s="19" t="s">
        <v>158</v>
      </c>
    </row>
    <row r="42" spans="2:10">
      <c r="B42" s="145"/>
      <c r="C42" s="36" t="s">
        <v>142</v>
      </c>
      <c r="D42" s="17"/>
      <c r="E42" s="12"/>
      <c r="F42" s="12"/>
      <c r="G42" s="12"/>
      <c r="H42" s="12"/>
      <c r="I42" s="19" t="s">
        <v>157</v>
      </c>
    </row>
    <row r="43" spans="2:10" ht="40.5">
      <c r="B43" s="52">
        <v>16</v>
      </c>
      <c r="C43" s="36" t="s">
        <v>343</v>
      </c>
      <c r="D43" s="17" t="s">
        <v>344</v>
      </c>
      <c r="E43" s="12">
        <v>0.5</v>
      </c>
      <c r="F43" s="12"/>
      <c r="G43" s="12"/>
      <c r="H43" s="55" t="s">
        <v>346</v>
      </c>
      <c r="I43" s="13" t="s">
        <v>117</v>
      </c>
    </row>
    <row r="44" spans="2:10" ht="27">
      <c r="B44" s="143">
        <v>17</v>
      </c>
      <c r="C44" s="149" t="s">
        <v>93</v>
      </c>
      <c r="D44" s="17" t="s">
        <v>96</v>
      </c>
      <c r="E44" s="12"/>
      <c r="F44" s="12"/>
      <c r="G44" s="12"/>
      <c r="H44" s="13"/>
      <c r="I44" s="19" t="s">
        <v>111</v>
      </c>
      <c r="J44" s="15"/>
    </row>
    <row r="45" spans="2:10" ht="27">
      <c r="B45" s="144"/>
      <c r="C45" s="149"/>
      <c r="D45" s="17" t="s">
        <v>97</v>
      </c>
      <c r="E45" s="12"/>
      <c r="F45" s="12"/>
      <c r="G45" s="12"/>
      <c r="H45" s="101"/>
      <c r="I45" s="19" t="s">
        <v>112</v>
      </c>
      <c r="J45" s="15"/>
    </row>
    <row r="46" spans="2:10">
      <c r="B46" s="145"/>
      <c r="C46" s="149"/>
      <c r="D46" s="17" t="s">
        <v>284</v>
      </c>
      <c r="E46" s="12"/>
      <c r="F46" s="12"/>
      <c r="G46" s="12"/>
      <c r="H46" s="101"/>
      <c r="I46" s="38"/>
      <c r="J46" s="15"/>
    </row>
    <row r="47" spans="2:10" ht="54">
      <c r="B47" s="11">
        <v>18</v>
      </c>
      <c r="C47" s="152" t="s">
        <v>136</v>
      </c>
      <c r="D47" s="153"/>
      <c r="E47" s="12">
        <v>0.5</v>
      </c>
      <c r="F47" s="12"/>
      <c r="G47" s="12"/>
      <c r="H47" s="62" t="s">
        <v>348</v>
      </c>
      <c r="I47" s="13" t="s">
        <v>160</v>
      </c>
    </row>
    <row r="48" spans="2:10" ht="27">
      <c r="B48" s="11">
        <v>19</v>
      </c>
      <c r="C48" s="156" t="s">
        <v>137</v>
      </c>
      <c r="D48" s="156"/>
      <c r="E48" s="12">
        <v>0.5</v>
      </c>
      <c r="F48" s="12"/>
      <c r="G48" s="12"/>
      <c r="H48" s="63" t="s">
        <v>347</v>
      </c>
      <c r="I48" s="13" t="s">
        <v>161</v>
      </c>
    </row>
    <row r="49" spans="2:9" ht="20.100000000000001" customHeight="1">
      <c r="B49" s="11"/>
      <c r="C49" s="156"/>
      <c r="D49" s="156"/>
      <c r="E49" s="12"/>
      <c r="F49" s="12"/>
      <c r="G49" s="12"/>
      <c r="H49" s="12"/>
      <c r="I49" s="21"/>
    </row>
    <row r="50" spans="2:9" ht="20.100000000000001" customHeight="1">
      <c r="B50" s="157" t="s">
        <v>77</v>
      </c>
      <c r="C50" s="158"/>
      <c r="D50" s="159"/>
      <c r="E50" s="56">
        <f>SUM(E15:E49)</f>
        <v>13.6</v>
      </c>
      <c r="F50" s="22"/>
      <c r="G50" s="56">
        <f>SUM(G15:G49)</f>
        <v>0</v>
      </c>
      <c r="H50" s="22"/>
      <c r="I50" s="23"/>
    </row>
    <row r="51" spans="2:9" ht="20.100000000000001" customHeight="1"/>
    <row r="52" spans="2:9">
      <c r="C52" s="24"/>
      <c r="I52" s="25"/>
    </row>
    <row r="54" spans="2:9">
      <c r="C54" s="26"/>
    </row>
    <row r="55" spans="2:9">
      <c r="C55" s="26"/>
    </row>
  </sheetData>
  <mergeCells count="27">
    <mergeCell ref="I20:I21"/>
    <mergeCell ref="C49:D49"/>
    <mergeCell ref="B50:D50"/>
    <mergeCell ref="B31:B32"/>
    <mergeCell ref="C31:C32"/>
    <mergeCell ref="B35:B37"/>
    <mergeCell ref="C35:C37"/>
    <mergeCell ref="B38:B39"/>
    <mergeCell ref="C38:C39"/>
    <mergeCell ref="B44:B46"/>
    <mergeCell ref="C44:C46"/>
    <mergeCell ref="C47:D47"/>
    <mergeCell ref="C48:D48"/>
    <mergeCell ref="B33:B34"/>
    <mergeCell ref="C33:C34"/>
    <mergeCell ref="B40:B42"/>
    <mergeCell ref="C14:D14"/>
    <mergeCell ref="C15:D15"/>
    <mergeCell ref="C16:D16"/>
    <mergeCell ref="C17:D17"/>
    <mergeCell ref="C18:D18"/>
    <mergeCell ref="B25:B28"/>
    <mergeCell ref="C25:C28"/>
    <mergeCell ref="B19:B22"/>
    <mergeCell ref="C19:C22"/>
    <mergeCell ref="B23:B24"/>
    <mergeCell ref="C23:C24"/>
  </mergeCells>
  <phoneticPr fontId="27" type="noConversion"/>
  <pageMargins left="0.70866141732283472" right="0.70866141732283472" top="0.74803149606299213" bottom="0.74803149606299213" header="0.31496062992125984" footer="0.31496062992125984"/>
  <pageSetup paperSize="9" scale="3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21"/>
  <sheetViews>
    <sheetView workbookViewId="0">
      <pane ySplit="2" topLeftCell="A3" activePane="bottomLeft" state="frozen"/>
      <selection activeCell="F39" sqref="F39"/>
      <selection pane="bottomLeft" activeCell="B5" sqref="B5"/>
    </sheetView>
  </sheetViews>
  <sheetFormatPr defaultColWidth="8.85546875" defaultRowHeight="16.5"/>
  <cols>
    <col min="1" max="1" width="15" style="50" bestFit="1" customWidth="1"/>
    <col min="2" max="3" width="16.42578125" style="50" customWidth="1"/>
    <col min="4" max="5" width="15.5703125" style="50" customWidth="1"/>
    <col min="6" max="6" width="63.140625" style="50" customWidth="1"/>
    <col min="7" max="16384" width="8.85546875" style="40"/>
  </cols>
  <sheetData>
    <row r="2" spans="1:10">
      <c r="A2" s="39" t="s">
        <v>74</v>
      </c>
      <c r="B2" s="39" t="s">
        <v>78</v>
      </c>
      <c r="C2" s="39" t="s">
        <v>79</v>
      </c>
      <c r="D2" s="39" t="s">
        <v>120</v>
      </c>
      <c r="E2" s="39" t="s">
        <v>121</v>
      </c>
      <c r="F2" s="39" t="s">
        <v>75</v>
      </c>
    </row>
    <row r="3" spans="1:10" ht="17.45" customHeight="1">
      <c r="A3" s="41" t="s">
        <v>80</v>
      </c>
      <c r="B3" s="41">
        <v>15</v>
      </c>
      <c r="C3" s="41">
        <v>0.15</v>
      </c>
      <c r="D3" s="59">
        <f>B3*C3/21</f>
        <v>0.10714285714285714</v>
      </c>
      <c r="E3" s="59">
        <f>D3</f>
        <v>0.10714285714285714</v>
      </c>
      <c r="F3" s="42" t="s">
        <v>100</v>
      </c>
    </row>
    <row r="4" spans="1:10">
      <c r="A4" s="41" t="s">
        <v>81</v>
      </c>
      <c r="B4" s="41">
        <v>10</v>
      </c>
      <c r="C4" s="41">
        <v>2</v>
      </c>
      <c r="D4" s="59">
        <f>B4*C4/21</f>
        <v>0.95238095238095233</v>
      </c>
      <c r="E4" s="59">
        <f>D4</f>
        <v>0.95238095238095233</v>
      </c>
      <c r="F4" s="42"/>
      <c r="H4" s="40" t="s">
        <v>143</v>
      </c>
    </row>
    <row r="5" spans="1:10">
      <c r="A5" s="41"/>
      <c r="B5" s="41"/>
      <c r="C5" s="41"/>
      <c r="D5" s="41"/>
      <c r="E5" s="41"/>
      <c r="F5" s="42"/>
      <c r="H5" s="40" t="s">
        <v>144</v>
      </c>
    </row>
    <row r="6" spans="1:10">
      <c r="A6" s="41"/>
      <c r="B6" s="41"/>
      <c r="C6" s="41"/>
      <c r="D6" s="41"/>
      <c r="E6" s="41"/>
      <c r="F6" s="43"/>
    </row>
    <row r="7" spans="1:10">
      <c r="A7" s="41"/>
      <c r="B7" s="41"/>
      <c r="C7" s="41"/>
      <c r="D7" s="41"/>
      <c r="E7" s="41"/>
      <c r="F7" s="44"/>
    </row>
    <row r="8" spans="1:10">
      <c r="A8" s="41"/>
      <c r="B8" s="41"/>
      <c r="C8" s="41"/>
      <c r="D8" s="41"/>
      <c r="E8" s="41"/>
      <c r="F8" s="45"/>
    </row>
    <row r="9" spans="1:10">
      <c r="A9" s="41"/>
      <c r="B9" s="41"/>
      <c r="C9" s="41"/>
      <c r="D9" s="41"/>
      <c r="E9" s="41"/>
      <c r="F9" s="45"/>
    </row>
    <row r="10" spans="1:10">
      <c r="A10" s="41"/>
      <c r="B10" s="41"/>
      <c r="C10" s="41"/>
      <c r="D10" s="41"/>
      <c r="E10" s="41"/>
      <c r="F10" s="45"/>
    </row>
    <row r="11" spans="1:10">
      <c r="A11" s="46" t="s">
        <v>77</v>
      </c>
      <c r="B11" s="47">
        <f>SUM(B3:B10)</f>
        <v>25</v>
      </c>
      <c r="C11" s="47"/>
      <c r="D11" s="60">
        <f>ROUNDUP(SUM(D3:D10),1)</f>
        <v>1.1000000000000001</v>
      </c>
      <c r="E11" s="60">
        <f>ROUNDUP(SUM(E3:E10),1)</f>
        <v>1.1000000000000001</v>
      </c>
      <c r="F11" s="43"/>
    </row>
    <row r="13" spans="1:10">
      <c r="A13" s="49"/>
    </row>
    <row r="14" spans="1:10">
      <c r="A14" s="39" t="s">
        <v>74</v>
      </c>
      <c r="B14" s="39" t="s">
        <v>78</v>
      </c>
      <c r="C14" s="39" t="s">
        <v>79</v>
      </c>
      <c r="D14" s="39" t="s">
        <v>122</v>
      </c>
      <c r="E14" s="39" t="s">
        <v>123</v>
      </c>
      <c r="F14" s="39" t="s">
        <v>75</v>
      </c>
    </row>
    <row r="15" spans="1:10">
      <c r="A15" s="41" t="s">
        <v>102</v>
      </c>
      <c r="B15" s="41">
        <v>2</v>
      </c>
      <c r="C15" s="41">
        <v>0.15</v>
      </c>
      <c r="D15" s="41">
        <f t="shared" ref="D15:D17" si="0">B15*C15/21</f>
        <v>1.4285714285714285E-2</v>
      </c>
      <c r="E15" s="41">
        <f>D15</f>
        <v>1.4285714285714285E-2</v>
      </c>
      <c r="F15" s="42"/>
    </row>
    <row r="16" spans="1:10" s="50" customFormat="1">
      <c r="A16" s="41" t="s">
        <v>103</v>
      </c>
      <c r="B16" s="41"/>
      <c r="C16" s="41">
        <v>0.5</v>
      </c>
      <c r="D16" s="41">
        <f t="shared" si="0"/>
        <v>0</v>
      </c>
      <c r="E16" s="41">
        <f>D16</f>
        <v>0</v>
      </c>
      <c r="F16" s="43" t="s">
        <v>104</v>
      </c>
      <c r="G16" s="40"/>
      <c r="H16" s="40"/>
      <c r="I16" s="40"/>
      <c r="J16" s="40"/>
    </row>
    <row r="17" spans="1:6">
      <c r="A17" s="41" t="s">
        <v>106</v>
      </c>
      <c r="B17" s="41"/>
      <c r="C17" s="41">
        <v>2</v>
      </c>
      <c r="D17" s="41">
        <f t="shared" si="0"/>
        <v>0</v>
      </c>
      <c r="E17" s="41">
        <f>D17</f>
        <v>0</v>
      </c>
      <c r="F17" s="44" t="s">
        <v>105</v>
      </c>
    </row>
    <row r="18" spans="1:6">
      <c r="A18" s="41"/>
      <c r="B18" s="41"/>
      <c r="C18" s="41"/>
      <c r="D18" s="41"/>
      <c r="E18" s="41"/>
      <c r="F18" s="45"/>
    </row>
    <row r="19" spans="1:6">
      <c r="A19" s="41"/>
      <c r="B19" s="41"/>
      <c r="C19" s="41"/>
      <c r="D19" s="41"/>
      <c r="E19" s="41"/>
      <c r="F19" s="45"/>
    </row>
    <row r="20" spans="1:6">
      <c r="A20" s="41"/>
      <c r="B20" s="41"/>
      <c r="C20" s="41"/>
      <c r="D20" s="41"/>
      <c r="E20" s="41"/>
      <c r="F20" s="45"/>
    </row>
    <row r="21" spans="1:6">
      <c r="A21" s="46" t="s">
        <v>77</v>
      </c>
      <c r="B21" s="47">
        <f>SUM(B15:B20)</f>
        <v>2</v>
      </c>
      <c r="C21" s="47"/>
      <c r="D21" s="48">
        <f>ROUNDUP(SUM(D15:D20),1)</f>
        <v>0.1</v>
      </c>
      <c r="E21" s="48">
        <f>ROUNDUP(SUM(E15:E20),1)</f>
        <v>0.1</v>
      </c>
      <c r="F21" s="43"/>
    </row>
  </sheetData>
  <phoneticPr fontId="27"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EF21C-66B7-496D-A0BB-E238896B818D}">
  <dimension ref="B2:AD31"/>
  <sheetViews>
    <sheetView workbookViewId="0">
      <selection activeCell="Q8" sqref="Q8"/>
    </sheetView>
  </sheetViews>
  <sheetFormatPr defaultColWidth="10.28515625" defaultRowHeight="13.5"/>
  <cols>
    <col min="1" max="1" width="3.140625" style="65" customWidth="1"/>
    <col min="2" max="2" width="5" style="65" customWidth="1"/>
    <col min="3" max="3" width="20.7109375" style="65" bestFit="1" customWidth="1"/>
    <col min="4" max="5" width="9.140625" style="65" customWidth="1"/>
    <col min="6" max="6" width="10.28515625" style="65"/>
    <col min="7" max="7" width="15.7109375" style="65" customWidth="1"/>
    <col min="8" max="10" width="10.28515625" style="65"/>
    <col min="11" max="11" width="16.28515625" style="65" customWidth="1"/>
    <col min="12" max="12" width="10.28515625" style="65"/>
    <col min="13" max="13" width="13.7109375" style="65" customWidth="1"/>
    <col min="14" max="14" width="15.140625" style="65" customWidth="1"/>
    <col min="15" max="18" width="10.28515625" style="65"/>
    <col min="19" max="19" width="14.140625" style="65" customWidth="1"/>
    <col min="20" max="21" width="10.28515625" style="65"/>
    <col min="22" max="22" width="11.42578125" style="65" customWidth="1"/>
    <col min="23" max="28" width="10.28515625" style="65"/>
    <col min="29" max="29" width="10.85546875" style="65" customWidth="1"/>
    <col min="30" max="16384" width="10.28515625" style="65"/>
  </cols>
  <sheetData>
    <row r="2" spans="2:30">
      <c r="B2" s="64" t="s">
        <v>163</v>
      </c>
    </row>
    <row r="3" spans="2:30" ht="14.25" thickBot="1">
      <c r="B3" s="186" t="s">
        <v>164</v>
      </c>
      <c r="C3" s="186"/>
      <c r="D3" s="186"/>
      <c r="E3" s="186"/>
      <c r="F3" s="186"/>
      <c r="G3" s="186"/>
      <c r="H3" s="186"/>
      <c r="I3" s="186"/>
      <c r="J3" s="186"/>
      <c r="K3" s="186"/>
    </row>
    <row r="4" spans="2:30" ht="30.75" customHeight="1">
      <c r="B4" s="187" t="s">
        <v>165</v>
      </c>
      <c r="C4" s="189" t="s">
        <v>166</v>
      </c>
      <c r="D4" s="170" t="s">
        <v>167</v>
      </c>
      <c r="E4" s="170"/>
      <c r="F4" s="170"/>
      <c r="G4" s="170"/>
      <c r="H4" s="173"/>
      <c r="I4" s="191" t="s">
        <v>168</v>
      </c>
      <c r="J4" s="105" t="s">
        <v>169</v>
      </c>
      <c r="K4" s="193" t="s">
        <v>170</v>
      </c>
      <c r="L4" s="194"/>
      <c r="M4" s="169" t="s">
        <v>171</v>
      </c>
      <c r="N4" s="170"/>
      <c r="O4" s="170"/>
      <c r="P4" s="170"/>
      <c r="Q4" s="170"/>
      <c r="R4" s="170"/>
      <c r="S4" s="171"/>
      <c r="T4" s="172" t="s">
        <v>172</v>
      </c>
      <c r="U4" s="170"/>
      <c r="V4" s="170"/>
      <c r="W4" s="170"/>
      <c r="X4" s="170"/>
      <c r="Y4" s="170"/>
      <c r="Z4" s="170"/>
      <c r="AA4" s="170"/>
      <c r="AB4" s="170"/>
      <c r="AC4" s="170"/>
      <c r="AD4" s="173"/>
    </row>
    <row r="5" spans="2:30" s="72" customFormat="1" ht="40.5">
      <c r="B5" s="188"/>
      <c r="C5" s="190"/>
      <c r="D5" s="67" t="s">
        <v>173</v>
      </c>
      <c r="E5" s="67" t="s">
        <v>174</v>
      </c>
      <c r="F5" s="67" t="s">
        <v>175</v>
      </c>
      <c r="G5" s="67" t="s">
        <v>176</v>
      </c>
      <c r="H5" s="68" t="s">
        <v>177</v>
      </c>
      <c r="I5" s="192"/>
      <c r="J5" s="106" t="s">
        <v>178</v>
      </c>
      <c r="K5" s="111" t="s">
        <v>179</v>
      </c>
      <c r="L5" s="69" t="s">
        <v>180</v>
      </c>
      <c r="M5" s="104" t="s">
        <v>181</v>
      </c>
      <c r="N5" s="67" t="s">
        <v>182</v>
      </c>
      <c r="O5" s="67" t="s">
        <v>183</v>
      </c>
      <c r="P5" s="67" t="s">
        <v>184</v>
      </c>
      <c r="Q5" s="67" t="s">
        <v>185</v>
      </c>
      <c r="R5" s="67" t="s">
        <v>186</v>
      </c>
      <c r="S5" s="71" t="s">
        <v>187</v>
      </c>
      <c r="T5" s="70" t="s">
        <v>188</v>
      </c>
      <c r="U5" s="67" t="s">
        <v>189</v>
      </c>
      <c r="V5" s="67" t="s">
        <v>190</v>
      </c>
      <c r="W5" s="67" t="s">
        <v>191</v>
      </c>
      <c r="X5" s="67" t="s">
        <v>192</v>
      </c>
      <c r="Y5" s="67" t="s">
        <v>193</v>
      </c>
      <c r="Z5" s="67" t="s">
        <v>194</v>
      </c>
      <c r="AA5" s="67" t="s">
        <v>195</v>
      </c>
      <c r="AB5" s="67" t="s">
        <v>196</v>
      </c>
      <c r="AC5" s="67" t="s">
        <v>197</v>
      </c>
      <c r="AD5" s="68" t="s">
        <v>198</v>
      </c>
    </row>
    <row r="6" spans="2:30" ht="30" customHeight="1">
      <c r="B6" s="174">
        <v>1</v>
      </c>
      <c r="C6" s="176" t="s">
        <v>199</v>
      </c>
      <c r="D6" s="176" t="s">
        <v>200</v>
      </c>
      <c r="E6" s="176">
        <v>1</v>
      </c>
      <c r="F6" s="176" t="s">
        <v>201</v>
      </c>
      <c r="G6" s="176" t="s">
        <v>202</v>
      </c>
      <c r="H6" s="180" t="s">
        <v>203</v>
      </c>
      <c r="I6" s="183">
        <f>SUM(J10:AG10)</f>
        <v>3.9000000000000004</v>
      </c>
      <c r="J6" s="107" t="s">
        <v>204</v>
      </c>
      <c r="K6" s="112">
        <v>0.4</v>
      </c>
      <c r="L6" s="74">
        <v>0.2</v>
      </c>
      <c r="M6" s="103">
        <v>0.5</v>
      </c>
      <c r="N6" s="75">
        <v>1</v>
      </c>
      <c r="O6" s="75">
        <v>0.15</v>
      </c>
      <c r="P6" s="75">
        <v>0.15</v>
      </c>
      <c r="Q6" s="75">
        <v>0.15</v>
      </c>
      <c r="R6" s="75">
        <v>0.25</v>
      </c>
      <c r="S6" s="76">
        <v>0.25</v>
      </c>
      <c r="T6" s="66">
        <v>0.1</v>
      </c>
      <c r="U6" s="75">
        <v>0.15</v>
      </c>
      <c r="V6" s="75">
        <v>0.1</v>
      </c>
      <c r="W6" s="75">
        <v>0.1</v>
      </c>
      <c r="X6" s="75">
        <v>0.25</v>
      </c>
      <c r="Y6" s="67">
        <v>0.25</v>
      </c>
      <c r="Z6" s="67">
        <v>0.5</v>
      </c>
      <c r="AA6" s="67">
        <v>0.5</v>
      </c>
      <c r="AB6" s="67">
        <v>1</v>
      </c>
      <c r="AC6" s="75">
        <v>0.5</v>
      </c>
      <c r="AD6" s="77">
        <v>1</v>
      </c>
    </row>
    <row r="7" spans="2:30" ht="30" customHeight="1">
      <c r="B7" s="174"/>
      <c r="C7" s="176"/>
      <c r="D7" s="176"/>
      <c r="E7" s="176"/>
      <c r="F7" s="178"/>
      <c r="G7" s="178"/>
      <c r="H7" s="181"/>
      <c r="I7" s="184"/>
      <c r="J7" s="107" t="s">
        <v>205</v>
      </c>
      <c r="K7" s="112">
        <v>1</v>
      </c>
      <c r="L7" s="74">
        <v>1</v>
      </c>
      <c r="M7" s="109">
        <v>1</v>
      </c>
      <c r="N7" s="79">
        <v>1</v>
      </c>
      <c r="O7" s="75">
        <v>1</v>
      </c>
      <c r="P7" s="75">
        <v>1</v>
      </c>
      <c r="Q7" s="75" t="s">
        <v>206</v>
      </c>
      <c r="R7" s="75" t="s">
        <v>206</v>
      </c>
      <c r="S7" s="76">
        <v>1</v>
      </c>
      <c r="T7" s="66" t="s">
        <v>206</v>
      </c>
      <c r="U7" s="75" t="s">
        <v>206</v>
      </c>
      <c r="V7" s="75" t="s">
        <v>206</v>
      </c>
      <c r="W7" s="75" t="s">
        <v>206</v>
      </c>
      <c r="X7" s="75" t="s">
        <v>206</v>
      </c>
      <c r="Y7" s="75" t="s">
        <v>206</v>
      </c>
      <c r="Z7" s="75" t="s">
        <v>206</v>
      </c>
      <c r="AA7" s="75" t="s">
        <v>206</v>
      </c>
      <c r="AB7" s="75" t="s">
        <v>206</v>
      </c>
      <c r="AC7" s="75" t="s">
        <v>206</v>
      </c>
      <c r="AD7" s="77" t="s">
        <v>206</v>
      </c>
    </row>
    <row r="8" spans="2:30" ht="30" customHeight="1">
      <c r="B8" s="174"/>
      <c r="C8" s="176"/>
      <c r="D8" s="176"/>
      <c r="E8" s="176"/>
      <c r="F8" s="178"/>
      <c r="G8" s="178"/>
      <c r="H8" s="181"/>
      <c r="I8" s="184"/>
      <c r="J8" s="107" t="s">
        <v>207</v>
      </c>
      <c r="K8" s="112" t="s">
        <v>208</v>
      </c>
      <c r="L8" s="80" t="s">
        <v>208</v>
      </c>
      <c r="M8" s="109" t="s">
        <v>209</v>
      </c>
      <c r="N8" s="79" t="s">
        <v>209</v>
      </c>
      <c r="O8" s="79" t="s">
        <v>208</v>
      </c>
      <c r="P8" s="79" t="s">
        <v>208</v>
      </c>
      <c r="Q8" s="79" t="s">
        <v>209</v>
      </c>
      <c r="R8" s="75" t="s">
        <v>206</v>
      </c>
      <c r="S8" s="79" t="s">
        <v>208</v>
      </c>
      <c r="T8" s="79" t="s">
        <v>208</v>
      </c>
      <c r="U8" s="79" t="s">
        <v>208</v>
      </c>
      <c r="V8" s="79" t="s">
        <v>208</v>
      </c>
      <c r="W8" s="79" t="s">
        <v>208</v>
      </c>
      <c r="X8" s="79" t="s">
        <v>209</v>
      </c>
      <c r="Y8" s="79" t="s">
        <v>209</v>
      </c>
      <c r="Z8" s="79" t="s">
        <v>209</v>
      </c>
      <c r="AA8" s="79" t="s">
        <v>209</v>
      </c>
      <c r="AB8" s="79" t="s">
        <v>208</v>
      </c>
      <c r="AC8" s="79" t="s">
        <v>209</v>
      </c>
      <c r="AD8" s="80" t="s">
        <v>208</v>
      </c>
    </row>
    <row r="9" spans="2:30" ht="30" customHeight="1">
      <c r="B9" s="174"/>
      <c r="C9" s="176"/>
      <c r="D9" s="176"/>
      <c r="E9" s="176"/>
      <c r="F9" s="178"/>
      <c r="G9" s="178"/>
      <c r="H9" s="181"/>
      <c r="I9" s="184"/>
      <c r="J9" s="107" t="s">
        <v>210</v>
      </c>
      <c r="K9" s="112" t="s">
        <v>206</v>
      </c>
      <c r="L9" s="74" t="s">
        <v>206</v>
      </c>
      <c r="M9" s="103" t="s">
        <v>206</v>
      </c>
      <c r="N9" s="75" t="s">
        <v>206</v>
      </c>
      <c r="O9" s="79" t="s">
        <v>208</v>
      </c>
      <c r="P9" s="79" t="s">
        <v>208</v>
      </c>
      <c r="Q9" s="75" t="s">
        <v>206</v>
      </c>
      <c r="R9" s="79" t="s">
        <v>209</v>
      </c>
      <c r="S9" s="76" t="s">
        <v>206</v>
      </c>
      <c r="T9" s="66" t="s">
        <v>208</v>
      </c>
      <c r="U9" s="75" t="s">
        <v>208</v>
      </c>
      <c r="V9" s="75" t="s">
        <v>208</v>
      </c>
      <c r="W9" s="75" t="s">
        <v>208</v>
      </c>
      <c r="X9" s="75" t="s">
        <v>208</v>
      </c>
      <c r="Y9" s="75" t="s">
        <v>208</v>
      </c>
      <c r="Z9" s="75" t="s">
        <v>208</v>
      </c>
      <c r="AA9" s="75" t="s">
        <v>208</v>
      </c>
      <c r="AB9" s="75" t="s">
        <v>208</v>
      </c>
      <c r="AC9" s="75" t="s">
        <v>208</v>
      </c>
      <c r="AD9" s="77" t="s">
        <v>208</v>
      </c>
    </row>
    <row r="10" spans="2:30" s="86" customFormat="1" ht="30" customHeight="1" thickBot="1">
      <c r="B10" s="175"/>
      <c r="C10" s="177"/>
      <c r="D10" s="177"/>
      <c r="E10" s="177"/>
      <c r="F10" s="179"/>
      <c r="G10" s="179"/>
      <c r="H10" s="182"/>
      <c r="I10" s="185"/>
      <c r="J10" s="108" t="s">
        <v>211</v>
      </c>
      <c r="K10" s="113">
        <f>IF(K8="O",IF(K9="O",IF(ISNUMBER(K7),(K6*K7)+K6,(K6*1)+K6),IF(ISNUMBER(K7),K6*K7,K6*1)),0)</f>
        <v>0.4</v>
      </c>
      <c r="L10" s="81">
        <f t="shared" ref="L10:S10" si="0">IF(L8="O",IF(L9="O",IF(ISNUMBER(L7),(L6*L7)+L6,(L6*1)+L6),IF(ISNUMBER(L7),L6*L7,L6*1)),0)</f>
        <v>0.2</v>
      </c>
      <c r="M10" s="110">
        <f t="shared" si="0"/>
        <v>0</v>
      </c>
      <c r="N10" s="83">
        <f t="shared" si="0"/>
        <v>0</v>
      </c>
      <c r="O10" s="83">
        <f t="shared" si="0"/>
        <v>0.3</v>
      </c>
      <c r="P10" s="83">
        <f t="shared" si="0"/>
        <v>0.3</v>
      </c>
      <c r="Q10" s="83">
        <f t="shared" si="0"/>
        <v>0</v>
      </c>
      <c r="R10" s="83">
        <f>IF(R8="O",IF(R9="O",IF(ISNUMBER(R7),(R6*R7)+R6,(R6*1)+R6),IF(ISNUMBER(R7),R6*R7,R6*1)),IF(R9="O",R6,0))</f>
        <v>0</v>
      </c>
      <c r="S10" s="84">
        <f t="shared" si="0"/>
        <v>0.25</v>
      </c>
      <c r="T10" s="82">
        <f>IF(T8="O",T6,0)</f>
        <v>0.1</v>
      </c>
      <c r="U10" s="83">
        <f t="shared" ref="U10:AD10" si="1">IF(U8="O",U6,0)</f>
        <v>0.15</v>
      </c>
      <c r="V10" s="83">
        <f t="shared" si="1"/>
        <v>0.1</v>
      </c>
      <c r="W10" s="83">
        <f t="shared" si="1"/>
        <v>0.1</v>
      </c>
      <c r="X10" s="83">
        <f t="shared" si="1"/>
        <v>0</v>
      </c>
      <c r="Y10" s="83">
        <f t="shared" si="1"/>
        <v>0</v>
      </c>
      <c r="Z10" s="83">
        <f t="shared" si="1"/>
        <v>0</v>
      </c>
      <c r="AA10" s="83">
        <f t="shared" si="1"/>
        <v>0</v>
      </c>
      <c r="AB10" s="83">
        <f t="shared" si="1"/>
        <v>1</v>
      </c>
      <c r="AC10" s="83">
        <f t="shared" si="1"/>
        <v>0</v>
      </c>
      <c r="AD10" s="85">
        <f t="shared" si="1"/>
        <v>1</v>
      </c>
    </row>
    <row r="11" spans="2:30" ht="30" customHeight="1">
      <c r="C11" s="87"/>
      <c r="D11" s="87"/>
      <c r="E11" s="87"/>
    </row>
    <row r="12" spans="2:30" ht="30" customHeight="1">
      <c r="B12" s="168" t="s">
        <v>212</v>
      </c>
      <c r="C12" s="168"/>
      <c r="D12" s="88"/>
      <c r="E12" s="88"/>
      <c r="F12" s="88"/>
      <c r="G12" s="88"/>
      <c r="H12" s="88"/>
      <c r="I12" s="88"/>
      <c r="J12" s="88"/>
      <c r="K12" s="88"/>
      <c r="L12" s="88"/>
      <c r="M12" s="89"/>
      <c r="N12" s="89"/>
    </row>
    <row r="13" spans="2:30" ht="30" customHeight="1">
      <c r="B13" s="78">
        <v>1</v>
      </c>
      <c r="C13" s="78" t="s">
        <v>175</v>
      </c>
      <c r="D13" s="163" t="s">
        <v>213</v>
      </c>
      <c r="E13" s="163"/>
      <c r="F13" s="163"/>
      <c r="G13" s="163"/>
      <c r="H13" s="163"/>
      <c r="I13" s="163"/>
      <c r="J13" s="163"/>
      <c r="K13" s="163"/>
      <c r="L13" s="163"/>
      <c r="M13" s="163"/>
      <c r="N13" s="163"/>
    </row>
    <row r="14" spans="2:30" ht="32.25" customHeight="1">
      <c r="B14" s="78">
        <v>2</v>
      </c>
      <c r="C14" s="78" t="s">
        <v>176</v>
      </c>
      <c r="D14" s="163" t="s">
        <v>214</v>
      </c>
      <c r="E14" s="163"/>
      <c r="F14" s="163"/>
      <c r="G14" s="163"/>
      <c r="H14" s="163"/>
      <c r="I14" s="163"/>
      <c r="J14" s="163"/>
      <c r="K14" s="163"/>
      <c r="L14" s="163"/>
      <c r="M14" s="163"/>
      <c r="N14" s="163"/>
    </row>
    <row r="15" spans="2:30" ht="52.5" customHeight="1">
      <c r="B15" s="78">
        <v>3</v>
      </c>
      <c r="C15" s="78" t="s">
        <v>177</v>
      </c>
      <c r="D15" s="162" t="s">
        <v>215</v>
      </c>
      <c r="E15" s="163"/>
      <c r="F15" s="163"/>
      <c r="G15" s="163"/>
      <c r="H15" s="163"/>
      <c r="I15" s="163"/>
      <c r="J15" s="163"/>
      <c r="K15" s="163"/>
      <c r="L15" s="163"/>
      <c r="M15" s="163"/>
      <c r="N15" s="163"/>
    </row>
    <row r="17" spans="2:19" ht="30" customHeight="1">
      <c r="B17" s="168" t="s">
        <v>216</v>
      </c>
      <c r="C17" s="168"/>
      <c r="D17" s="90" t="s">
        <v>217</v>
      </c>
    </row>
    <row r="18" spans="2:19" ht="52.5" customHeight="1">
      <c r="B18" s="78">
        <v>1</v>
      </c>
      <c r="C18" s="165" t="s">
        <v>171</v>
      </c>
      <c r="D18" s="160" t="s">
        <v>218</v>
      </c>
      <c r="E18" s="161"/>
      <c r="F18" s="162" t="s">
        <v>219</v>
      </c>
      <c r="G18" s="163"/>
      <c r="H18" s="163"/>
      <c r="I18" s="163"/>
      <c r="J18" s="163"/>
      <c r="K18" s="163"/>
      <c r="L18" s="163"/>
      <c r="M18" s="163"/>
      <c r="N18" s="163"/>
      <c r="O18" s="163"/>
      <c r="P18" s="163"/>
    </row>
    <row r="19" spans="2:19" ht="52.5" customHeight="1">
      <c r="B19" s="78">
        <v>2</v>
      </c>
      <c r="C19" s="166"/>
      <c r="D19" s="160" t="s">
        <v>220</v>
      </c>
      <c r="E19" s="161"/>
      <c r="F19" s="162" t="s">
        <v>221</v>
      </c>
      <c r="G19" s="163"/>
      <c r="H19" s="163"/>
      <c r="I19" s="163"/>
      <c r="J19" s="163"/>
      <c r="K19" s="163"/>
      <c r="L19" s="163"/>
      <c r="M19" s="163"/>
      <c r="N19" s="163"/>
      <c r="O19" s="163"/>
      <c r="P19" s="163"/>
    </row>
    <row r="20" spans="2:19" ht="52.5" customHeight="1">
      <c r="B20" s="78">
        <v>3</v>
      </c>
      <c r="C20" s="166"/>
      <c r="D20" s="160" t="s">
        <v>222</v>
      </c>
      <c r="E20" s="161"/>
      <c r="F20" s="162" t="s">
        <v>223</v>
      </c>
      <c r="G20" s="163"/>
      <c r="H20" s="163"/>
      <c r="I20" s="163"/>
      <c r="J20" s="163"/>
      <c r="K20" s="163"/>
      <c r="L20" s="163"/>
      <c r="M20" s="163"/>
      <c r="N20" s="163"/>
      <c r="O20" s="163"/>
      <c r="P20" s="163"/>
    </row>
    <row r="21" spans="2:19" ht="52.5" customHeight="1">
      <c r="B21" s="78">
        <v>4</v>
      </c>
      <c r="C21" s="166"/>
      <c r="D21" s="160" t="s">
        <v>224</v>
      </c>
      <c r="E21" s="161"/>
      <c r="F21" s="162" t="s">
        <v>225</v>
      </c>
      <c r="G21" s="163"/>
      <c r="H21" s="163"/>
      <c r="I21" s="163"/>
      <c r="J21" s="163"/>
      <c r="K21" s="163"/>
      <c r="L21" s="163"/>
      <c r="M21" s="163"/>
      <c r="N21" s="163"/>
      <c r="O21" s="163"/>
      <c r="P21" s="163"/>
    </row>
    <row r="22" spans="2:19" ht="52.5" customHeight="1">
      <c r="B22" s="78">
        <v>5</v>
      </c>
      <c r="C22" s="167"/>
      <c r="D22" s="160" t="s">
        <v>226</v>
      </c>
      <c r="E22" s="161"/>
      <c r="F22" s="162" t="s">
        <v>227</v>
      </c>
      <c r="G22" s="163"/>
      <c r="H22" s="163"/>
      <c r="I22" s="163"/>
      <c r="J22" s="163"/>
      <c r="K22" s="163"/>
      <c r="L22" s="163"/>
      <c r="M22" s="163"/>
      <c r="N22" s="163"/>
      <c r="O22" s="163"/>
      <c r="P22" s="163"/>
    </row>
    <row r="23" spans="2:19" ht="159.75" customHeight="1">
      <c r="B23" s="78">
        <v>6</v>
      </c>
      <c r="C23" s="73" t="s">
        <v>172</v>
      </c>
      <c r="D23" s="160" t="s">
        <v>228</v>
      </c>
      <c r="E23" s="161"/>
      <c r="F23" s="162" t="s">
        <v>229</v>
      </c>
      <c r="G23" s="163"/>
      <c r="H23" s="163"/>
      <c r="I23" s="163"/>
      <c r="J23" s="163"/>
      <c r="K23" s="163"/>
      <c r="L23" s="163"/>
      <c r="M23" s="163"/>
      <c r="N23" s="163"/>
      <c r="O23" s="163"/>
      <c r="P23" s="163"/>
    </row>
    <row r="24" spans="2:19" ht="30" customHeight="1">
      <c r="C24" s="91" t="s">
        <v>230</v>
      </c>
      <c r="D24" s="87"/>
    </row>
    <row r="25" spans="2:19" ht="30" customHeight="1">
      <c r="B25" s="164" t="s">
        <v>231</v>
      </c>
      <c r="C25" s="164"/>
      <c r="D25" s="90" t="s">
        <v>232</v>
      </c>
      <c r="E25" s="92"/>
      <c r="F25" s="92"/>
      <c r="G25" s="92"/>
      <c r="H25" s="92"/>
      <c r="I25" s="92"/>
      <c r="J25" s="92"/>
      <c r="K25" s="92"/>
      <c r="L25" s="92"/>
      <c r="M25" s="92"/>
      <c r="N25" s="92"/>
      <c r="O25" s="92"/>
      <c r="P25" s="92"/>
      <c r="Q25" s="92"/>
      <c r="R25" s="92"/>
      <c r="S25" s="93"/>
    </row>
    <row r="26" spans="2:19" ht="30" customHeight="1">
      <c r="B26" s="73">
        <v>1</v>
      </c>
      <c r="C26" s="73" t="s">
        <v>233</v>
      </c>
    </row>
    <row r="27" spans="2:19" ht="30" customHeight="1">
      <c r="B27" s="73">
        <v>2</v>
      </c>
      <c r="C27" s="73" t="s">
        <v>234</v>
      </c>
    </row>
    <row r="28" spans="2:19" ht="30" customHeight="1">
      <c r="B28" s="73">
        <v>3</v>
      </c>
      <c r="C28" s="73" t="s">
        <v>195</v>
      </c>
    </row>
    <row r="29" spans="2:19" ht="30" customHeight="1">
      <c r="B29" s="73">
        <v>4</v>
      </c>
      <c r="C29" s="73" t="s">
        <v>235</v>
      </c>
    </row>
    <row r="30" spans="2:19" ht="30" customHeight="1">
      <c r="B30" s="73">
        <v>5</v>
      </c>
      <c r="C30" s="73" t="s">
        <v>236</v>
      </c>
    </row>
    <row r="31" spans="2:19" ht="30" customHeight="1">
      <c r="B31" s="73">
        <v>6</v>
      </c>
      <c r="C31" s="73" t="s">
        <v>237</v>
      </c>
    </row>
  </sheetData>
  <mergeCells count="35">
    <mergeCell ref="B3:K3"/>
    <mergeCell ref="B4:B5"/>
    <mergeCell ref="C4:C5"/>
    <mergeCell ref="D4:H4"/>
    <mergeCell ref="I4:I5"/>
    <mergeCell ref="K4:L4"/>
    <mergeCell ref="M4:S4"/>
    <mergeCell ref="T4:AD4"/>
    <mergeCell ref="B6:B10"/>
    <mergeCell ref="C6:C10"/>
    <mergeCell ref="D6:D10"/>
    <mergeCell ref="E6:E10"/>
    <mergeCell ref="F6:F10"/>
    <mergeCell ref="G6:G10"/>
    <mergeCell ref="H6:H10"/>
    <mergeCell ref="I6:I10"/>
    <mergeCell ref="B12:C12"/>
    <mergeCell ref="D13:N13"/>
    <mergeCell ref="D14:N14"/>
    <mergeCell ref="D15:N15"/>
    <mergeCell ref="B17:C17"/>
    <mergeCell ref="D23:E23"/>
    <mergeCell ref="F23:P23"/>
    <mergeCell ref="B25:C25"/>
    <mergeCell ref="D20:E20"/>
    <mergeCell ref="F20:P20"/>
    <mergeCell ref="D21:E21"/>
    <mergeCell ref="F21:P21"/>
    <mergeCell ref="D22:E22"/>
    <mergeCell ref="F22:P22"/>
    <mergeCell ref="C18:C22"/>
    <mergeCell ref="D18:E18"/>
    <mergeCell ref="F18:P18"/>
    <mergeCell ref="D19:E19"/>
    <mergeCell ref="F19:P19"/>
  </mergeCells>
  <phoneticPr fontId="2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0FD7B-B784-45D4-9F6C-BA279B4A101A}">
  <dimension ref="A1:O25"/>
  <sheetViews>
    <sheetView workbookViewId="0">
      <selection activeCell="F12" sqref="F12"/>
    </sheetView>
  </sheetViews>
  <sheetFormatPr defaultColWidth="10.28515625" defaultRowHeight="26.25" customHeight="1"/>
  <cols>
    <col min="1" max="1" width="7.7109375" style="92" customWidth="1"/>
    <col min="2" max="2" width="16.28515625" style="92" customWidth="1"/>
    <col min="3" max="3" width="12.28515625" style="92" customWidth="1"/>
    <col min="4" max="4" width="11" style="92" bestFit="1" customWidth="1"/>
    <col min="5" max="5" width="14.5703125" style="92" bestFit="1" customWidth="1"/>
    <col min="6" max="6" width="14.85546875" style="92" bestFit="1" customWidth="1"/>
    <col min="7" max="7" width="9.85546875" style="92" bestFit="1" customWidth="1"/>
    <col min="8" max="8" width="16.7109375" style="92" customWidth="1"/>
    <col min="9" max="9" width="11" style="92" bestFit="1" customWidth="1"/>
    <col min="10" max="10" width="10.28515625" style="92" customWidth="1"/>
    <col min="11" max="13" width="14.85546875" style="92" customWidth="1"/>
    <col min="14" max="14" width="11.28515625" style="93" customWidth="1"/>
    <col min="15" max="15" width="28.140625" style="93" customWidth="1"/>
    <col min="16" max="16384" width="10.28515625" style="93"/>
  </cols>
  <sheetData>
    <row r="1" spans="1:15" ht="33" customHeight="1">
      <c r="A1" s="197" t="s">
        <v>238</v>
      </c>
      <c r="B1" s="195" t="s">
        <v>166</v>
      </c>
      <c r="C1" s="199" t="s">
        <v>167</v>
      </c>
      <c r="D1" s="200"/>
      <c r="E1" s="200"/>
      <c r="F1" s="200"/>
      <c r="G1" s="200"/>
      <c r="H1" s="200"/>
      <c r="I1" s="200"/>
      <c r="J1" s="201"/>
      <c r="K1" s="202" t="s">
        <v>170</v>
      </c>
      <c r="L1" s="202"/>
      <c r="M1" s="202"/>
      <c r="N1" s="195" t="s">
        <v>239</v>
      </c>
      <c r="O1" s="195" t="s">
        <v>240</v>
      </c>
    </row>
    <row r="2" spans="1:15" ht="33" customHeight="1">
      <c r="A2" s="198"/>
      <c r="B2" s="196"/>
      <c r="C2" s="75" t="s">
        <v>241</v>
      </c>
      <c r="D2" s="67" t="s">
        <v>242</v>
      </c>
      <c r="E2" s="71" t="s">
        <v>243</v>
      </c>
      <c r="F2" s="71" t="s">
        <v>244</v>
      </c>
      <c r="G2" s="71" t="s">
        <v>245</v>
      </c>
      <c r="H2" s="71" t="s">
        <v>246</v>
      </c>
      <c r="I2" s="71" t="s">
        <v>247</v>
      </c>
      <c r="J2" s="71" t="s">
        <v>248</v>
      </c>
      <c r="K2" s="71" t="s">
        <v>249</v>
      </c>
      <c r="L2" s="71" t="s">
        <v>243</v>
      </c>
      <c r="M2" s="71" t="s">
        <v>247</v>
      </c>
      <c r="N2" s="196"/>
      <c r="O2" s="196"/>
    </row>
    <row r="3" spans="1:15" ht="30" customHeight="1">
      <c r="A3" s="73">
        <v>1</v>
      </c>
      <c r="B3" s="73" t="s">
        <v>250</v>
      </c>
      <c r="C3" s="73" t="s">
        <v>251</v>
      </c>
      <c r="D3" s="73" t="s">
        <v>252</v>
      </c>
      <c r="E3" s="73" t="s">
        <v>253</v>
      </c>
      <c r="F3" s="73" t="s">
        <v>253</v>
      </c>
      <c r="G3" s="73" t="s">
        <v>253</v>
      </c>
      <c r="H3" s="73" t="s">
        <v>206</v>
      </c>
      <c r="I3" s="73" t="s">
        <v>206</v>
      </c>
      <c r="J3" s="73" t="s">
        <v>253</v>
      </c>
      <c r="K3" s="94">
        <v>0.15</v>
      </c>
      <c r="L3" s="94">
        <v>0.1</v>
      </c>
      <c r="M3" s="95">
        <v>0</v>
      </c>
      <c r="N3" s="96">
        <f>SUM(K3:M3)</f>
        <v>0.25</v>
      </c>
      <c r="O3" s="97"/>
    </row>
    <row r="4" spans="1:15" ht="30" customHeight="1">
      <c r="A4" s="73">
        <v>2</v>
      </c>
      <c r="B4" s="73" t="s">
        <v>254</v>
      </c>
      <c r="C4" s="73" t="s">
        <v>251</v>
      </c>
      <c r="D4" s="73" t="s">
        <v>252</v>
      </c>
      <c r="E4" s="73" t="s">
        <v>206</v>
      </c>
      <c r="F4" s="73" t="s">
        <v>206</v>
      </c>
      <c r="G4" s="73" t="s">
        <v>253</v>
      </c>
      <c r="H4" s="73" t="s">
        <v>253</v>
      </c>
      <c r="I4" s="73" t="s">
        <v>253</v>
      </c>
      <c r="J4" s="73" t="s">
        <v>253</v>
      </c>
      <c r="K4" s="95">
        <v>0.1</v>
      </c>
      <c r="L4" s="95">
        <v>0</v>
      </c>
      <c r="M4" s="98">
        <v>0.25</v>
      </c>
      <c r="N4" s="96">
        <f>SUM(K4:M4)</f>
        <v>0.35</v>
      </c>
      <c r="O4" s="97"/>
    </row>
    <row r="5" spans="1:15" ht="30" customHeight="1">
      <c r="A5" s="88"/>
      <c r="B5" s="88"/>
      <c r="C5" s="88"/>
      <c r="D5" s="88"/>
      <c r="E5" s="88"/>
      <c r="F5" s="88"/>
      <c r="G5" s="88"/>
      <c r="H5" s="88"/>
      <c r="I5" s="88"/>
      <c r="J5" s="88"/>
      <c r="K5" s="88"/>
      <c r="L5" s="88"/>
      <c r="M5" s="88"/>
      <c r="N5" s="89"/>
      <c r="O5" s="89"/>
    </row>
    <row r="6" spans="1:15" ht="30" customHeight="1">
      <c r="A6" s="168" t="s">
        <v>212</v>
      </c>
      <c r="B6" s="168"/>
      <c r="C6" s="88"/>
      <c r="D6" s="88"/>
      <c r="E6" s="88"/>
      <c r="F6" s="88"/>
      <c r="G6" s="88"/>
      <c r="H6" s="88"/>
      <c r="I6" s="88"/>
      <c r="J6" s="88"/>
      <c r="K6" s="88"/>
      <c r="L6" s="88"/>
      <c r="M6" s="88"/>
      <c r="N6" s="89"/>
      <c r="O6" s="89"/>
    </row>
    <row r="7" spans="1:15" ht="30" customHeight="1">
      <c r="A7" s="78">
        <v>1</v>
      </c>
      <c r="B7" s="78" t="s">
        <v>243</v>
      </c>
      <c r="C7" s="163" t="s">
        <v>255</v>
      </c>
      <c r="D7" s="163"/>
      <c r="E7" s="163"/>
      <c r="F7" s="163"/>
      <c r="G7" s="163"/>
      <c r="H7" s="163"/>
      <c r="I7" s="163"/>
      <c r="J7" s="163"/>
      <c r="K7" s="163"/>
      <c r="L7" s="163"/>
      <c r="M7" s="163"/>
      <c r="N7" s="163"/>
      <c r="O7" s="163"/>
    </row>
    <row r="8" spans="1:15" ht="30" customHeight="1">
      <c r="A8" s="78">
        <v>2</v>
      </c>
      <c r="B8" s="78" t="s">
        <v>256</v>
      </c>
      <c r="C8" s="163" t="s">
        <v>257</v>
      </c>
      <c r="D8" s="163"/>
      <c r="E8" s="163"/>
      <c r="F8" s="163"/>
      <c r="G8" s="163"/>
      <c r="H8" s="163"/>
      <c r="I8" s="163"/>
      <c r="J8" s="163"/>
      <c r="K8" s="163"/>
      <c r="L8" s="163"/>
      <c r="M8" s="163"/>
      <c r="N8" s="163"/>
      <c r="O8" s="163"/>
    </row>
    <row r="9" spans="1:15" ht="30" customHeight="1">
      <c r="A9" s="78">
        <v>3</v>
      </c>
      <c r="B9" s="78" t="s">
        <v>248</v>
      </c>
      <c r="C9" s="163" t="s">
        <v>258</v>
      </c>
      <c r="D9" s="163"/>
      <c r="E9" s="163"/>
      <c r="F9" s="163"/>
      <c r="G9" s="163"/>
      <c r="H9" s="163"/>
      <c r="I9" s="163"/>
      <c r="J9" s="163"/>
      <c r="K9" s="163"/>
      <c r="L9" s="163"/>
      <c r="M9" s="163"/>
      <c r="N9" s="163"/>
      <c r="O9" s="163"/>
    </row>
    <row r="10" spans="1:15" ht="30" customHeight="1">
      <c r="A10" s="78">
        <v>4</v>
      </c>
      <c r="B10" s="78" t="s">
        <v>247</v>
      </c>
      <c r="C10" s="163" t="s">
        <v>259</v>
      </c>
      <c r="D10" s="163"/>
      <c r="E10" s="163"/>
      <c r="F10" s="163"/>
      <c r="G10" s="163"/>
      <c r="H10" s="163"/>
      <c r="I10" s="163"/>
      <c r="J10" s="163"/>
      <c r="K10" s="163"/>
      <c r="L10" s="163"/>
      <c r="M10" s="163"/>
      <c r="N10" s="163"/>
      <c r="O10" s="163"/>
    </row>
    <row r="11" spans="1:15" ht="30" customHeight="1">
      <c r="A11" s="88"/>
      <c r="B11" s="88"/>
      <c r="C11" s="99"/>
      <c r="D11" s="99"/>
      <c r="E11" s="99"/>
      <c r="F11" s="99"/>
      <c r="G11" s="99"/>
      <c r="H11" s="99"/>
      <c r="I11" s="99"/>
      <c r="J11" s="99"/>
      <c r="K11" s="99"/>
      <c r="L11" s="99"/>
      <c r="M11" s="99"/>
      <c r="N11" s="99"/>
      <c r="O11" s="99"/>
    </row>
    <row r="12" spans="1:15" ht="30" customHeight="1"/>
    <row r="13" spans="1:15" ht="30" customHeight="1">
      <c r="A13" s="164" t="s">
        <v>231</v>
      </c>
      <c r="B13" s="164"/>
      <c r="C13" s="90" t="s">
        <v>232</v>
      </c>
    </row>
    <row r="14" spans="1:15" ht="30" customHeight="1">
      <c r="A14" s="73">
        <v>1</v>
      </c>
      <c r="B14" s="73" t="s">
        <v>245</v>
      </c>
    </row>
    <row r="15" spans="1:15" ht="30" customHeight="1">
      <c r="A15" s="73">
        <v>2</v>
      </c>
      <c r="B15" s="73" t="s">
        <v>260</v>
      </c>
    </row>
    <row r="16" spans="1:15" ht="30" customHeight="1">
      <c r="A16" s="73">
        <v>3</v>
      </c>
      <c r="B16" s="73" t="s">
        <v>256</v>
      </c>
    </row>
    <row r="17" spans="1:3" ht="30" customHeight="1">
      <c r="A17" s="73">
        <v>4</v>
      </c>
      <c r="B17" s="73" t="s">
        <v>261</v>
      </c>
    </row>
    <row r="18" spans="1:3" ht="30" customHeight="1">
      <c r="A18" s="73">
        <v>5</v>
      </c>
      <c r="B18" s="73" t="s">
        <v>262</v>
      </c>
    </row>
    <row r="19" spans="1:3" ht="30" customHeight="1">
      <c r="A19" s="73">
        <v>6</v>
      </c>
      <c r="B19" s="73" t="s">
        <v>263</v>
      </c>
    </row>
    <row r="20" spans="1:3" ht="30" customHeight="1">
      <c r="A20" s="73">
        <v>7</v>
      </c>
      <c r="B20" s="73" t="s">
        <v>247</v>
      </c>
    </row>
    <row r="21" spans="1:3" ht="30" customHeight="1">
      <c r="A21" s="73">
        <v>8</v>
      </c>
      <c r="B21" s="73" t="s">
        <v>264</v>
      </c>
    </row>
    <row r="22" spans="1:3" ht="30" customHeight="1">
      <c r="A22" s="73">
        <v>9</v>
      </c>
      <c r="B22" s="73" t="s">
        <v>265</v>
      </c>
      <c r="C22" s="100" t="s">
        <v>266</v>
      </c>
    </row>
    <row r="23" spans="1:3" ht="30" customHeight="1">
      <c r="A23" s="73">
        <v>10</v>
      </c>
      <c r="B23" s="73" t="s">
        <v>267</v>
      </c>
      <c r="C23" s="100" t="s">
        <v>268</v>
      </c>
    </row>
    <row r="24" spans="1:3" ht="30" customHeight="1"/>
    <row r="25" spans="1:3" ht="30" customHeight="1"/>
  </sheetData>
  <mergeCells count="12">
    <mergeCell ref="N1:N2"/>
    <mergeCell ref="O1:O2"/>
    <mergeCell ref="A13:B13"/>
    <mergeCell ref="A1:A2"/>
    <mergeCell ref="B1:B2"/>
    <mergeCell ref="C1:J1"/>
    <mergeCell ref="K1:M1"/>
    <mergeCell ref="A6:B6"/>
    <mergeCell ref="C7:O7"/>
    <mergeCell ref="C8:O8"/>
    <mergeCell ref="C9:O9"/>
    <mergeCell ref="C10:O10"/>
  </mergeCells>
  <phoneticPr fontId="27"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853EA-45E0-466C-A336-F828C9B674DE}">
  <dimension ref="A1:Q8"/>
  <sheetViews>
    <sheetView workbookViewId="0">
      <selection activeCell="K8" sqref="K8"/>
    </sheetView>
  </sheetViews>
  <sheetFormatPr defaultColWidth="10.28515625" defaultRowHeight="26.25" customHeight="1"/>
  <cols>
    <col min="1" max="1" width="7.7109375" style="92" customWidth="1"/>
    <col min="2" max="2" width="16.28515625" style="92" bestFit="1" customWidth="1"/>
    <col min="3" max="3" width="12.28515625" style="92" customWidth="1"/>
    <col min="4" max="15" width="12.140625" style="92" customWidth="1"/>
    <col min="16" max="16" width="11.28515625" style="93" customWidth="1"/>
    <col min="17" max="17" width="28.140625" style="93" customWidth="1"/>
    <col min="18" max="16384" width="10.28515625" style="93"/>
  </cols>
  <sheetData>
    <row r="1" spans="1:17" ht="33" customHeight="1">
      <c r="A1" s="197" t="s">
        <v>238</v>
      </c>
      <c r="B1" s="195" t="s">
        <v>166</v>
      </c>
      <c r="C1" s="199" t="s">
        <v>167</v>
      </c>
      <c r="D1" s="200"/>
      <c r="E1" s="200"/>
      <c r="F1" s="200"/>
      <c r="G1" s="200"/>
      <c r="H1" s="200"/>
      <c r="I1" s="201"/>
      <c r="J1" s="202" t="s">
        <v>170</v>
      </c>
      <c r="K1" s="202"/>
      <c r="L1" s="202"/>
      <c r="M1" s="202"/>
      <c r="N1" s="202"/>
      <c r="O1" s="203"/>
      <c r="P1" s="195" t="s">
        <v>239</v>
      </c>
      <c r="Q1" s="195" t="s">
        <v>240</v>
      </c>
    </row>
    <row r="2" spans="1:17" ht="33" customHeight="1">
      <c r="A2" s="198"/>
      <c r="B2" s="196"/>
      <c r="C2" s="75" t="s">
        <v>241</v>
      </c>
      <c r="D2" s="67" t="s">
        <v>269</v>
      </c>
      <c r="E2" s="71" t="s">
        <v>270</v>
      </c>
      <c r="F2" s="71" t="s">
        <v>271</v>
      </c>
      <c r="G2" s="71" t="s">
        <v>272</v>
      </c>
      <c r="H2" s="71" t="s">
        <v>273</v>
      </c>
      <c r="I2" s="67" t="s">
        <v>274</v>
      </c>
      <c r="J2" s="67" t="s">
        <v>275</v>
      </c>
      <c r="K2" s="71" t="s">
        <v>270</v>
      </c>
      <c r="L2" s="71" t="s">
        <v>271</v>
      </c>
      <c r="M2" s="71" t="s">
        <v>272</v>
      </c>
      <c r="N2" s="71" t="s">
        <v>273</v>
      </c>
      <c r="O2" s="67" t="s">
        <v>274</v>
      </c>
      <c r="P2" s="196"/>
      <c r="Q2" s="196"/>
    </row>
    <row r="3" spans="1:17" ht="30" customHeight="1">
      <c r="A3" s="73">
        <v>1</v>
      </c>
      <c r="B3" s="73" t="s">
        <v>276</v>
      </c>
      <c r="C3" s="73" t="s">
        <v>277</v>
      </c>
      <c r="D3" s="73" t="s">
        <v>252</v>
      </c>
      <c r="E3" s="73" t="s">
        <v>253</v>
      </c>
      <c r="F3" s="73" t="s">
        <v>278</v>
      </c>
      <c r="G3" s="73" t="s">
        <v>253</v>
      </c>
      <c r="H3" s="73" t="s">
        <v>253</v>
      </c>
      <c r="I3" s="73" t="s">
        <v>253</v>
      </c>
      <c r="J3" s="96">
        <v>0.5</v>
      </c>
      <c r="K3" s="96">
        <v>0.5</v>
      </c>
      <c r="L3" s="96">
        <v>0.1</v>
      </c>
      <c r="M3" s="96">
        <v>0.2</v>
      </c>
      <c r="N3" s="95">
        <v>0.1</v>
      </c>
      <c r="O3" s="95" t="s">
        <v>206</v>
      </c>
      <c r="P3" s="96">
        <f>SUM(J3:O3)</f>
        <v>1.4000000000000001</v>
      </c>
      <c r="Q3" s="97"/>
    </row>
    <row r="4" spans="1:17" ht="30" customHeight="1">
      <c r="A4" s="73">
        <v>2</v>
      </c>
      <c r="B4" s="73" t="s">
        <v>279</v>
      </c>
      <c r="C4" s="73" t="s">
        <v>277</v>
      </c>
      <c r="D4" s="73" t="s">
        <v>252</v>
      </c>
      <c r="E4" s="73" t="s">
        <v>253</v>
      </c>
      <c r="F4" s="73" t="s">
        <v>278</v>
      </c>
      <c r="G4" s="73" t="s">
        <v>253</v>
      </c>
      <c r="H4" s="73" t="s">
        <v>253</v>
      </c>
      <c r="I4" s="73" t="s">
        <v>253</v>
      </c>
      <c r="J4" s="95">
        <v>0.5</v>
      </c>
      <c r="K4" s="95">
        <v>0.3</v>
      </c>
      <c r="L4" s="95">
        <v>0.3</v>
      </c>
      <c r="M4" s="96">
        <v>0.3</v>
      </c>
      <c r="N4" s="95">
        <v>0.25</v>
      </c>
      <c r="O4" s="95">
        <v>0.15</v>
      </c>
      <c r="P4" s="96">
        <f>SUM(J4:O4)</f>
        <v>1.8</v>
      </c>
      <c r="Q4" s="97"/>
    </row>
    <row r="5" spans="1:17" ht="30" customHeight="1">
      <c r="A5" s="73">
        <v>3</v>
      </c>
      <c r="B5" s="73" t="s">
        <v>280</v>
      </c>
      <c r="C5" s="73" t="s">
        <v>277</v>
      </c>
      <c r="D5" s="73" t="s">
        <v>252</v>
      </c>
      <c r="E5" s="73" t="s">
        <v>253</v>
      </c>
      <c r="F5" s="73" t="s">
        <v>278</v>
      </c>
      <c r="G5" s="73" t="s">
        <v>253</v>
      </c>
      <c r="H5" s="73" t="s">
        <v>253</v>
      </c>
      <c r="I5" s="73" t="s">
        <v>253</v>
      </c>
      <c r="J5" s="95">
        <v>1.5</v>
      </c>
      <c r="K5" s="95">
        <v>0.8</v>
      </c>
      <c r="L5" s="95">
        <v>0.4</v>
      </c>
      <c r="M5" s="95">
        <v>0.3</v>
      </c>
      <c r="N5" s="95">
        <v>0.25</v>
      </c>
      <c r="O5" s="95">
        <v>0.15</v>
      </c>
      <c r="P5" s="96">
        <f>SUM(J5:O5)</f>
        <v>3.3999999999999995</v>
      </c>
      <c r="Q5" s="97"/>
    </row>
    <row r="6" spans="1:17" ht="30" customHeight="1">
      <c r="A6" s="73">
        <v>4</v>
      </c>
      <c r="B6" s="73" t="s">
        <v>281</v>
      </c>
      <c r="C6" s="73" t="s">
        <v>277</v>
      </c>
      <c r="D6" s="73" t="s">
        <v>252</v>
      </c>
      <c r="E6" s="73" t="s">
        <v>253</v>
      </c>
      <c r="F6" s="73" t="s">
        <v>278</v>
      </c>
      <c r="G6" s="73" t="s">
        <v>253</v>
      </c>
      <c r="H6" s="73" t="s">
        <v>253</v>
      </c>
      <c r="I6" s="73" t="s">
        <v>253</v>
      </c>
      <c r="J6" s="95">
        <v>1.5</v>
      </c>
      <c r="K6" s="95">
        <v>0.8</v>
      </c>
      <c r="L6" s="95">
        <v>0.4</v>
      </c>
      <c r="M6" s="95">
        <v>0.3</v>
      </c>
      <c r="N6" s="95">
        <v>0.25</v>
      </c>
      <c r="O6" s="95">
        <v>0.15</v>
      </c>
      <c r="P6" s="96">
        <f>SUM(J6:O6)</f>
        <v>3.3999999999999995</v>
      </c>
      <c r="Q6" s="97"/>
    </row>
    <row r="7" spans="1:17" ht="30" customHeight="1">
      <c r="A7" s="73">
        <v>5</v>
      </c>
      <c r="B7" s="73" t="s">
        <v>282</v>
      </c>
      <c r="C7" s="73" t="s">
        <v>277</v>
      </c>
      <c r="D7" s="73" t="s">
        <v>252</v>
      </c>
      <c r="E7" s="73" t="s">
        <v>253</v>
      </c>
      <c r="F7" s="73" t="s">
        <v>278</v>
      </c>
      <c r="G7" s="73" t="s">
        <v>253</v>
      </c>
      <c r="H7" s="73" t="s">
        <v>253</v>
      </c>
      <c r="I7" s="73" t="s">
        <v>253</v>
      </c>
      <c r="J7" s="95">
        <v>1.5</v>
      </c>
      <c r="K7" s="95">
        <v>0.8</v>
      </c>
      <c r="L7" s="95">
        <v>0.4</v>
      </c>
      <c r="M7" s="95">
        <v>0.3</v>
      </c>
      <c r="N7" s="95">
        <v>0.25</v>
      </c>
      <c r="O7" s="95">
        <v>0.15</v>
      </c>
      <c r="P7" s="96">
        <f>SUM(J7:O7)</f>
        <v>3.3999999999999995</v>
      </c>
      <c r="Q7" s="97"/>
    </row>
    <row r="8" spans="1:17" ht="22.5" customHeight="1"/>
  </sheetData>
  <mergeCells count="6">
    <mergeCell ref="Q1:Q2"/>
    <mergeCell ref="A1:A2"/>
    <mergeCell ref="B1:B2"/>
    <mergeCell ref="C1:I1"/>
    <mergeCell ref="J1:O1"/>
    <mergeCell ref="P1:P2"/>
  </mergeCells>
  <phoneticPr fontId="27"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Q8"/>
  <sheetViews>
    <sheetView workbookViewId="0">
      <selection activeCell="Q8" sqref="B2:Q8"/>
    </sheetView>
  </sheetViews>
  <sheetFormatPr defaultRowHeight="13.5"/>
  <cols>
    <col min="2" max="2" width="13.140625" bestFit="1" customWidth="1"/>
    <col min="3" max="3" width="26.140625" bestFit="1" customWidth="1"/>
    <col min="4" max="4" width="18.85546875" bestFit="1" customWidth="1"/>
    <col min="5" max="5" width="8" bestFit="1" customWidth="1"/>
    <col min="6" max="6" width="21.42578125" bestFit="1" customWidth="1"/>
    <col min="7" max="7" width="10" bestFit="1" customWidth="1"/>
    <col min="8" max="8" width="5.5703125" bestFit="1" customWidth="1"/>
    <col min="9" max="9" width="8.5703125" bestFit="1" customWidth="1"/>
    <col min="10" max="10" width="6.42578125" bestFit="1" customWidth="1"/>
    <col min="11" max="11" width="7.5703125" bestFit="1" customWidth="1"/>
    <col min="12" max="12" width="8.85546875" bestFit="1" customWidth="1"/>
    <col min="13" max="13" width="18" bestFit="1" customWidth="1"/>
    <col min="14" max="14" width="13" bestFit="1" customWidth="1"/>
    <col min="15" max="15" width="4.5703125" bestFit="1" customWidth="1"/>
    <col min="16" max="16" width="6.5703125" bestFit="1" customWidth="1"/>
    <col min="17" max="17" width="3.85546875" bestFit="1" customWidth="1"/>
  </cols>
  <sheetData>
    <row r="2" spans="2:17" ht="27" customHeight="1">
      <c r="B2" s="205" t="s">
        <v>4</v>
      </c>
      <c r="C2" s="204" t="s">
        <v>5</v>
      </c>
      <c r="D2" s="204" t="s">
        <v>6</v>
      </c>
      <c r="E2" s="204" t="s">
        <v>7</v>
      </c>
      <c r="F2" s="204" t="s">
        <v>8</v>
      </c>
      <c r="G2" s="204"/>
      <c r="H2" s="204"/>
      <c r="I2" s="205" t="s">
        <v>22</v>
      </c>
      <c r="J2" s="205" t="s">
        <v>21</v>
      </c>
      <c r="K2" s="204" t="s">
        <v>12</v>
      </c>
      <c r="L2" s="204"/>
      <c r="M2" s="204" t="s">
        <v>13</v>
      </c>
      <c r="N2" s="204"/>
      <c r="O2" s="204"/>
      <c r="P2" s="204"/>
      <c r="Q2" s="204"/>
    </row>
    <row r="3" spans="2:17">
      <c r="B3" s="205"/>
      <c r="C3" s="204"/>
      <c r="D3" s="204"/>
      <c r="E3" s="204"/>
      <c r="F3" s="3" t="s">
        <v>9</v>
      </c>
      <c r="G3" s="3" t="s">
        <v>10</v>
      </c>
      <c r="H3" s="3" t="s">
        <v>11</v>
      </c>
      <c r="I3" s="205"/>
      <c r="J3" s="205"/>
      <c r="K3" s="3" t="s">
        <v>14</v>
      </c>
      <c r="L3" s="3" t="s">
        <v>15</v>
      </c>
      <c r="M3" s="3" t="s">
        <v>16</v>
      </c>
      <c r="N3" s="3" t="s">
        <v>17</v>
      </c>
      <c r="O3" s="3" t="s">
        <v>18</v>
      </c>
      <c r="P3" s="3" t="s">
        <v>19</v>
      </c>
      <c r="Q3" s="3" t="s">
        <v>20</v>
      </c>
    </row>
    <row r="4" spans="2:17">
      <c r="B4" s="2" t="s">
        <v>0</v>
      </c>
      <c r="C4" s="2" t="s">
        <v>23</v>
      </c>
      <c r="D4" s="2" t="s">
        <v>28</v>
      </c>
      <c r="E4" s="1" t="s">
        <v>33</v>
      </c>
      <c r="F4" s="2" t="s">
        <v>35</v>
      </c>
      <c r="G4" s="1">
        <v>2</v>
      </c>
      <c r="H4" s="1">
        <v>4</v>
      </c>
      <c r="I4" s="1" t="s">
        <v>37</v>
      </c>
      <c r="J4" s="1">
        <v>2</v>
      </c>
      <c r="K4" s="2" t="s">
        <v>42</v>
      </c>
      <c r="L4" s="2" t="s">
        <v>44</v>
      </c>
      <c r="M4" s="2" t="s">
        <v>45</v>
      </c>
      <c r="N4" s="2" t="s">
        <v>47</v>
      </c>
      <c r="O4" s="1" t="s">
        <v>49</v>
      </c>
      <c r="P4" s="1" t="s">
        <v>50</v>
      </c>
      <c r="Q4" s="1">
        <v>32</v>
      </c>
    </row>
    <row r="5" spans="2:17">
      <c r="B5" s="2" t="s">
        <v>0</v>
      </c>
      <c r="C5" s="2" t="s">
        <v>24</v>
      </c>
      <c r="D5" s="2" t="s">
        <v>29</v>
      </c>
      <c r="E5" s="1" t="s">
        <v>33</v>
      </c>
      <c r="F5" s="2" t="s">
        <v>36</v>
      </c>
      <c r="G5" s="1">
        <v>2</v>
      </c>
      <c r="H5" s="1">
        <v>4</v>
      </c>
      <c r="I5" s="1" t="s">
        <v>38</v>
      </c>
      <c r="J5" s="1">
        <v>4</v>
      </c>
      <c r="K5" s="2" t="s">
        <v>43</v>
      </c>
      <c r="L5" s="2" t="s">
        <v>44</v>
      </c>
      <c r="M5" s="2" t="s">
        <v>45</v>
      </c>
      <c r="N5" s="2" t="s">
        <v>47</v>
      </c>
      <c r="O5" s="1" t="s">
        <v>49</v>
      </c>
      <c r="P5" s="1" t="s">
        <v>50</v>
      </c>
      <c r="Q5" s="1">
        <v>32</v>
      </c>
    </row>
    <row r="6" spans="2:17">
      <c r="B6" s="2" t="s">
        <v>1</v>
      </c>
      <c r="C6" s="2" t="s">
        <v>25</v>
      </c>
      <c r="D6" s="2" t="s">
        <v>30</v>
      </c>
      <c r="E6" s="1" t="s">
        <v>34</v>
      </c>
      <c r="F6" s="2" t="s">
        <v>36</v>
      </c>
      <c r="G6" s="1">
        <v>2</v>
      </c>
      <c r="H6" s="1">
        <v>1</v>
      </c>
      <c r="I6" s="1" t="s">
        <v>39</v>
      </c>
      <c r="J6" s="1">
        <v>1</v>
      </c>
      <c r="K6" s="2"/>
      <c r="L6" s="2"/>
      <c r="M6" s="2" t="s">
        <v>46</v>
      </c>
      <c r="N6" s="2" t="s">
        <v>47</v>
      </c>
      <c r="O6" s="1" t="s">
        <v>49</v>
      </c>
      <c r="P6" s="1" t="s">
        <v>50</v>
      </c>
      <c r="Q6" s="1">
        <v>32</v>
      </c>
    </row>
    <row r="7" spans="2:17">
      <c r="B7" s="2" t="s">
        <v>2</v>
      </c>
      <c r="C7" s="2" t="s">
        <v>26</v>
      </c>
      <c r="D7" s="2" t="s">
        <v>31</v>
      </c>
      <c r="E7" s="1" t="s">
        <v>33</v>
      </c>
      <c r="F7" s="2" t="s">
        <v>36</v>
      </c>
      <c r="G7" s="1">
        <v>2</v>
      </c>
      <c r="H7" s="1">
        <v>4</v>
      </c>
      <c r="I7" s="1" t="s">
        <v>40</v>
      </c>
      <c r="J7" s="1">
        <v>2</v>
      </c>
      <c r="K7" s="2"/>
      <c r="L7" s="2" t="s">
        <v>44</v>
      </c>
      <c r="M7" s="2" t="s">
        <v>45</v>
      </c>
      <c r="N7" s="2" t="s">
        <v>47</v>
      </c>
      <c r="O7" s="1" t="s">
        <v>49</v>
      </c>
      <c r="P7" s="1" t="s">
        <v>50</v>
      </c>
      <c r="Q7" s="1">
        <v>32</v>
      </c>
    </row>
    <row r="8" spans="2:17">
      <c r="B8" s="2" t="s">
        <v>3</v>
      </c>
      <c r="C8" s="2" t="s">
        <v>27</v>
      </c>
      <c r="D8" s="2" t="s">
        <v>32</v>
      </c>
      <c r="E8" s="1" t="s">
        <v>33</v>
      </c>
      <c r="F8" s="2" t="s">
        <v>36</v>
      </c>
      <c r="G8" s="1">
        <v>2</v>
      </c>
      <c r="H8" s="1">
        <v>4</v>
      </c>
      <c r="I8" s="1" t="s">
        <v>41</v>
      </c>
      <c r="J8" s="1">
        <v>4</v>
      </c>
      <c r="K8" s="2"/>
      <c r="L8" s="2" t="s">
        <v>44</v>
      </c>
      <c r="M8" s="2" t="s">
        <v>45</v>
      </c>
      <c r="N8" s="2" t="s">
        <v>48</v>
      </c>
      <c r="O8" s="1" t="s">
        <v>49</v>
      </c>
      <c r="P8" s="1" t="s">
        <v>50</v>
      </c>
      <c r="Q8" s="1">
        <v>32</v>
      </c>
    </row>
  </sheetData>
  <mergeCells count="9">
    <mergeCell ref="M2:Q2"/>
    <mergeCell ref="K2:L2"/>
    <mergeCell ref="F2:H2"/>
    <mergeCell ref="B2:B3"/>
    <mergeCell ref="E2:E3"/>
    <mergeCell ref="D2:D3"/>
    <mergeCell ref="C2:C3"/>
    <mergeCell ref="J2:J3"/>
    <mergeCell ref="I2:I3"/>
  </mergeCells>
  <phoneticPr fontId="2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D13"/>
  <sheetViews>
    <sheetView workbookViewId="0">
      <selection activeCell="Q8" sqref="B2:Q8"/>
    </sheetView>
  </sheetViews>
  <sheetFormatPr defaultRowHeight="13.5"/>
  <cols>
    <col min="3" max="3" width="26" bestFit="1" customWidth="1"/>
    <col min="4" max="4" width="43.5703125" bestFit="1" customWidth="1"/>
  </cols>
  <sheetData>
    <row r="2" spans="2:4">
      <c r="B2" s="3" t="s">
        <v>51</v>
      </c>
      <c r="C2" s="3" t="s">
        <v>52</v>
      </c>
      <c r="D2" s="3" t="s">
        <v>53</v>
      </c>
    </row>
    <row r="3" spans="2:4">
      <c r="B3" s="1">
        <v>1</v>
      </c>
      <c r="C3" s="2" t="s">
        <v>54</v>
      </c>
      <c r="D3" s="2" t="s">
        <v>62</v>
      </c>
    </row>
    <row r="4" spans="2:4">
      <c r="B4" s="1">
        <v>2</v>
      </c>
      <c r="C4" s="2" t="s">
        <v>55</v>
      </c>
      <c r="D4" s="2" t="s">
        <v>63</v>
      </c>
    </row>
    <row r="5" spans="2:4">
      <c r="B5" s="1">
        <v>3</v>
      </c>
      <c r="C5" s="2" t="s">
        <v>56</v>
      </c>
      <c r="D5" s="2" t="s">
        <v>64</v>
      </c>
    </row>
    <row r="6" spans="2:4">
      <c r="B6" s="1">
        <v>4</v>
      </c>
      <c r="C6" s="2" t="s">
        <v>56</v>
      </c>
      <c r="D6" s="2" t="s">
        <v>65</v>
      </c>
    </row>
    <row r="7" spans="2:4">
      <c r="B7" s="1">
        <v>5</v>
      </c>
      <c r="C7" s="2" t="s">
        <v>56</v>
      </c>
      <c r="D7" s="2" t="s">
        <v>66</v>
      </c>
    </row>
    <row r="8" spans="2:4">
      <c r="B8" s="1">
        <v>6</v>
      </c>
      <c r="C8" s="2" t="s">
        <v>56</v>
      </c>
      <c r="D8" s="2" t="s">
        <v>67</v>
      </c>
    </row>
    <row r="9" spans="2:4">
      <c r="B9" s="1">
        <v>7</v>
      </c>
      <c r="C9" s="2" t="s">
        <v>57</v>
      </c>
      <c r="D9" s="2" t="s">
        <v>68</v>
      </c>
    </row>
    <row r="10" spans="2:4">
      <c r="B10" s="1">
        <v>8</v>
      </c>
      <c r="C10" s="2" t="s">
        <v>58</v>
      </c>
      <c r="D10" s="2" t="s">
        <v>69</v>
      </c>
    </row>
    <row r="11" spans="2:4">
      <c r="B11" s="1">
        <v>9</v>
      </c>
      <c r="C11" s="2" t="s">
        <v>59</v>
      </c>
      <c r="D11" s="2" t="s">
        <v>70</v>
      </c>
    </row>
    <row r="12" spans="2:4">
      <c r="B12" s="1">
        <v>10</v>
      </c>
      <c r="C12" s="2" t="s">
        <v>60</v>
      </c>
      <c r="D12" s="2" t="s">
        <v>71</v>
      </c>
    </row>
    <row r="13" spans="2:4">
      <c r="B13" s="1">
        <v>11</v>
      </c>
      <c r="C13" s="2" t="s">
        <v>61</v>
      </c>
      <c r="D13" s="2" t="s">
        <v>72</v>
      </c>
    </row>
  </sheetData>
  <phoneticPr fontId="27"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0B2522BBF08C8D4F852002187CB99AA0" ma:contentTypeVersion="9" ma:contentTypeDescription="새 문서를 만듭니다." ma:contentTypeScope="" ma:versionID="e145100deba5d91ae28d65e51fe69df1">
  <xsd:schema xmlns:xsd="http://www.w3.org/2001/XMLSchema" xmlns:xs="http://www.w3.org/2001/XMLSchema" xmlns:p="http://schemas.microsoft.com/office/2006/metadata/properties" xmlns:ns2="2588df52-4a97-443f-9567-7014935e911e" xmlns:ns3="50f36411-578c-4215-8a15-d5ff47e16eff" targetNamespace="http://schemas.microsoft.com/office/2006/metadata/properties" ma:root="true" ma:fieldsID="cc09c140cc3652062caf4cf5b3501eda" ns2:_="" ns3:_="">
    <xsd:import namespace="2588df52-4a97-443f-9567-7014935e911e"/>
    <xsd:import namespace="50f36411-578c-4215-8a15-d5ff47e16ef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8df52-4a97-443f-9567-7014935e91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f36411-578c-4215-8a15-d5ff47e16eff" elementFormDefault="qualified">
    <xsd:import namespace="http://schemas.microsoft.com/office/2006/documentManagement/types"/>
    <xsd:import namespace="http://schemas.microsoft.com/office/infopath/2007/PartnerControls"/>
    <xsd:element name="SharedWithUsers" ma:index="12"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097CB2-979E-41C6-B13B-A3BCC1B0F307}">
  <ds:schemaRefs>
    <ds:schemaRef ds:uri="http://schemas.microsoft.com/office/2006/documentManagement/types"/>
    <ds:schemaRef ds:uri="http://purl.org/dc/dcmitype/"/>
    <ds:schemaRef ds:uri="http://purl.org/dc/elements/1.1/"/>
    <ds:schemaRef ds:uri="50f36411-578c-4215-8a15-d5ff47e16eff"/>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2588df52-4a97-443f-9567-7014935e911e"/>
    <ds:schemaRef ds:uri="http://purl.org/dc/terms/"/>
  </ds:schemaRefs>
</ds:datastoreItem>
</file>

<file path=customXml/itemProps2.xml><?xml version="1.0" encoding="utf-8"?>
<ds:datastoreItem xmlns:ds="http://schemas.openxmlformats.org/officeDocument/2006/customXml" ds:itemID="{11C8DDD1-7C6E-4567-9A23-B3C1543CBA82}">
  <ds:schemaRefs>
    <ds:schemaRef ds:uri="http://schemas.microsoft.com/sharepoint/v3/contenttype/forms"/>
  </ds:schemaRefs>
</ds:datastoreItem>
</file>

<file path=customXml/itemProps3.xml><?xml version="1.0" encoding="utf-8"?>
<ds:datastoreItem xmlns:ds="http://schemas.openxmlformats.org/officeDocument/2006/customXml" ds:itemID="{8EB361EC-24DB-45D5-B9C9-77444740AD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88df52-4a97-443f-9567-7014935e911e"/>
    <ds:schemaRef ds:uri="50f36411-578c-4215-8a15-d5ff47e16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Project 개요</vt:lpstr>
      <vt:lpstr>공수산정</vt:lpstr>
      <vt:lpstr>양식 공수</vt:lpstr>
      <vt:lpstr>이어카운팅_표준</vt:lpstr>
      <vt:lpstr>근태,휴가 표준</vt:lpstr>
      <vt:lpstr>COMM제품 표준</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JDooIT</dc:creator>
  <cp:lastModifiedBy>김경호</cp:lastModifiedBy>
  <cp:lastPrinted>2026-02-04T08:27:32Z</cp:lastPrinted>
  <dcterms:created xsi:type="dcterms:W3CDTF">2012-12-04T01:12:53Z</dcterms:created>
  <dcterms:modified xsi:type="dcterms:W3CDTF">2026-02-04T08:27:56Z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0x0101000B2522BBF08C8D4F852002187CB99AA0</vt:lpwstr>
  </property>
</Properties>
</file>