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covision-my.sharepoint.com/personal/khkim_covision_co_kr/Documents/Covision/★.COVISION/u.유티아이(UTI)/2026/4.영업인수인계/"/>
    </mc:Choice>
  </mc:AlternateContent>
  <xr:revisionPtr revIDLastSave="206" documentId="13_ncr:1_{560B0AEE-97D3-4323-96E1-AEEB862C8F26}" xr6:coauthVersionLast="47" xr6:coauthVersionMax="47" xr10:uidLastSave="{09E10649-01F3-4DA4-AC26-84CDA3B6352D}"/>
  <bookViews>
    <workbookView xWindow="-120" yWindow="-120" windowWidth="29040" windowHeight="15720" activeTab="3" xr2:uid="{00000000-000D-0000-FFFF-FFFF00000000}"/>
  </bookViews>
  <sheets>
    <sheet name="표지" sheetId="18" r:id="rId1"/>
    <sheet name="변경이력" sheetId="19" r:id="rId2"/>
    <sheet name="1.인수인계 절차" sheetId="17" r:id="rId3"/>
    <sheet name="2.체크리스트(필수)" sheetId="16" r:id="rId4"/>
    <sheet name="3.일지 History(필수)" sheetId="13" r:id="rId5"/>
    <sheet name="4.양식 공수" sheetId="11" r:id="rId6"/>
  </sheets>
  <externalReferences>
    <externalReference r:id="rId7"/>
  </externalReferences>
  <definedNames>
    <definedName name="AA" localSheetId="1" hidden="1">{"'Sheet1'!$A$1:$J$57","'Sheet1'!$F$32:$F$35","'Sheet1'!$F$32:$F$36"}</definedName>
    <definedName name="AA" localSheetId="0" hidden="1">{"'Sheet1'!$A$1:$J$57","'Sheet1'!$F$32:$F$35","'Sheet1'!$F$32:$F$36"}</definedName>
    <definedName name="AA" hidden="1">{"'Sheet1'!$A$1:$J$57","'Sheet1'!$F$32:$F$35","'Sheet1'!$F$32:$F$36"}</definedName>
    <definedName name="aaa">#REF!</definedName>
    <definedName name="AB" localSheetId="1" hidden="1">{"'Sheet1'!$A$1:$J$57","'Sheet1'!$F$32:$F$35","'Sheet1'!$F$32:$F$36"}</definedName>
    <definedName name="AB" localSheetId="0" hidden="1">{"'Sheet1'!$A$1:$J$57","'Sheet1'!$F$32:$F$35","'Sheet1'!$F$32:$F$36"}</definedName>
    <definedName name="AB" hidden="1">{"'Sheet1'!$A$1:$J$57","'Sheet1'!$F$32:$F$35","'Sheet1'!$F$32:$F$36"}</definedName>
    <definedName name="afaga" localSheetId="1" hidden="1">{"'Sheet1'!$A$1:$J$57","'Sheet1'!$F$32:$F$35","'Sheet1'!$F$32:$F$36"}</definedName>
    <definedName name="afaga" localSheetId="0" hidden="1">{"'Sheet1'!$A$1:$J$57","'Sheet1'!$F$32:$F$35","'Sheet1'!$F$32:$F$36"}</definedName>
    <definedName name="afaga" hidden="1">{"'Sheet1'!$A$1:$J$57","'Sheet1'!$F$32:$F$35","'Sheet1'!$F$32:$F$36"}</definedName>
    <definedName name="AG" localSheetId="1" hidden="1">{"'Sheet1'!$A$1:$J$57","'Sheet1'!$F$32:$F$35","'Sheet1'!$F$32:$F$36"}</definedName>
    <definedName name="AG" localSheetId="0" hidden="1">{"'Sheet1'!$A$1:$J$57","'Sheet1'!$F$32:$F$35","'Sheet1'!$F$32:$F$36"}</definedName>
    <definedName name="AG" hidden="1">{"'Sheet1'!$A$1:$J$57","'Sheet1'!$F$32:$F$35","'Sheet1'!$F$32:$F$36"}</definedName>
    <definedName name="cause">#REF!</definedName>
    <definedName name="Comments">#REF!</definedName>
    <definedName name="DataType">#REF!</definedName>
    <definedName name="dddd" localSheetId="1" hidden="1">{"'Sheet1'!$A$1:$J$57","'Sheet1'!$F$32:$F$35","'Sheet1'!$F$32:$F$36"}</definedName>
    <definedName name="dddd" localSheetId="0" hidden="1">{"'Sheet1'!$A$1:$J$57","'Sheet1'!$F$32:$F$35","'Sheet1'!$F$32:$F$36"}</definedName>
    <definedName name="dddd" hidden="1">{"'Sheet1'!$A$1:$J$57","'Sheet1'!$F$32:$F$35","'Sheet1'!$F$32:$F$36"}</definedName>
    <definedName name="Domain">#REF!</definedName>
    <definedName name="E">#REF!</definedName>
    <definedName name="html" localSheetId="1" hidden="1">{"'Sheet1'!$A$1:$J$57","'Sheet1'!$F$32:$F$35","'Sheet1'!$F$32:$F$36"}</definedName>
    <definedName name="html" localSheetId="0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1" hidden="1">{"'Sheet1'!$A$1:$J$57","'Sheet1'!$F$32:$F$35","'Sheet1'!$F$32:$F$36"}</definedName>
    <definedName name="HTML_Control" localSheetId="0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1" hidden="1">{"'Sheet1'!$A$1:$J$57","'Sheet1'!$F$32:$F$35","'Sheet1'!$F$32:$F$36"}</definedName>
    <definedName name="HTML1" localSheetId="0" hidden="1">{"'Sheet1'!$A$1:$J$57","'Sheet1'!$F$32:$F$35","'Sheet1'!$F$32:$F$36"}</definedName>
    <definedName name="HTML1" hidden="1">{"'Sheet1'!$A$1:$J$57","'Sheet1'!$F$32:$F$35","'Sheet1'!$F$32:$F$36"}</definedName>
    <definedName name="HTML2" localSheetId="1" hidden="1">{"'Sheet1'!$A$1:$J$57","'Sheet1'!$F$32:$F$35","'Sheet1'!$F$32:$F$36"}</definedName>
    <definedName name="HTML2" localSheetId="0" hidden="1">{"'Sheet1'!$A$1:$J$57","'Sheet1'!$F$32:$F$35","'Sheet1'!$F$32:$F$36"}</definedName>
    <definedName name="HTML2" hidden="1">{"'Sheet1'!$A$1:$J$57","'Sheet1'!$F$32:$F$35","'Sheet1'!$F$32:$F$36"}</definedName>
    <definedName name="Ltst_TestLog">"'Test log'"</definedName>
    <definedName name="MHIFieldList02">[1]환경변수!$C$6:$C$6</definedName>
    <definedName name="MHIFieldList04">[1]환경변수!$C$11:$C$17</definedName>
    <definedName name="NullOption">#REF!</definedName>
    <definedName name="Severity">#REF!</definedName>
    <definedName name="sss">#REF!</definedName>
    <definedName name="State_of_Origin">#REF!</definedName>
    <definedName name="ups" localSheetId="1" hidden="1">{"'Sheet1'!$A$1:$J$57","'Sheet1'!$F$32:$F$35","'Sheet1'!$F$32:$F$36"}</definedName>
    <definedName name="ups" localSheetId="0" hidden="1">{"'Sheet1'!$A$1:$J$57","'Sheet1'!$F$32:$F$35","'Sheet1'!$F$32:$F$36"}</definedName>
    <definedName name="ups" hidden="1">{"'Sheet1'!$A$1:$J$57","'Sheet1'!$F$32:$F$35","'Sheet1'!$F$32:$F$36"}</definedName>
    <definedName name="개선사항여부">#REF!</definedName>
    <definedName name="견적_최종2" localSheetId="1" hidden="1">{"'Sheet1'!$A$1:$J$57","'Sheet1'!$F$32:$F$35","'Sheet1'!$F$32:$F$36"}</definedName>
    <definedName name="견적_최종2" localSheetId="0" hidden="1">{"'Sheet1'!$A$1:$J$57","'Sheet1'!$F$32:$F$35","'Sheet1'!$F$32:$F$36"}</definedName>
    <definedName name="견적_최종2" hidden="1">{"'Sheet1'!$A$1:$J$57","'Sheet1'!$F$32:$F$35","'Sheet1'!$F$32:$F$36"}</definedName>
    <definedName name="기능">#REF!</definedName>
    <definedName name="ㄹㄴㅁㅇ">#REF!</definedName>
    <definedName name="ㄹㅇㄴㅁ">#REF!</definedName>
    <definedName name="ㄹㅇㄴㅁㄹㄴㅁㅇ">#REF!</definedName>
    <definedName name="ㄹㅇㄴㅁㅎ">#REF!</definedName>
    <definedName name="ㄻㄴㅇ">#REF!</definedName>
    <definedName name="ㅁㄹ">#REF!</definedName>
    <definedName name="梅兰日兰UPS" localSheetId="1" hidden="1">{"'Sheet1'!$A$1:$J$57","'Sheet1'!$F$32:$F$35","'Sheet1'!$F$32:$F$36"}</definedName>
    <definedName name="梅兰日兰UPS" localSheetId="0" hidden="1">{"'Sheet1'!$A$1:$J$57","'Sheet1'!$F$32:$F$35","'Sheet1'!$F$32:$F$36"}</definedName>
    <definedName name="梅兰日兰UPS" hidden="1">{"'Sheet1'!$A$1:$J$57","'Sheet1'!$F$32:$F$35","'Sheet1'!$F$32:$F$36"}</definedName>
    <definedName name="변경여부">#REF!</definedName>
    <definedName name="ㅅㄴ" localSheetId="1" hidden="1">{"'Sheet1'!$A$1:$J$57","'Sheet1'!$F$32:$F$35","'Sheet1'!$F$32:$F$36"}</definedName>
    <definedName name="ㅅㄴ" localSheetId="0" hidden="1">{"'Sheet1'!$A$1:$J$57","'Sheet1'!$F$32:$F$35","'Sheet1'!$F$32:$F$36"}</definedName>
    <definedName name="ㅅㄴ" hidden="1">{"'Sheet1'!$A$1:$J$57","'Sheet1'!$F$32:$F$35","'Sheet1'!$F$32:$F$36"}</definedName>
    <definedName name="속성유형">#REF!</definedName>
    <definedName name="ㅇ">#REF!</definedName>
    <definedName name="ㅈㄷㅂ">#REF!</definedName>
    <definedName name="중분류">#REF!</definedName>
    <definedName name="总价12" localSheetId="1" hidden="1">{"'Sheet1'!$A$1:$J$57","'Sheet1'!$F$32:$F$35","'Sheet1'!$F$32:$F$36"}</definedName>
    <definedName name="总价12" localSheetId="0" hidden="1">{"'Sheet1'!$A$1:$J$57","'Sheet1'!$F$32:$F$35","'Sheet1'!$F$32:$F$36"}</definedName>
    <definedName name="总价12" hidden="1">{"'Sheet1'!$A$1:$J$57","'Sheet1'!$F$32:$F$35","'Sheet1'!$F$32:$F$36"}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커뮤니티">#REF!</definedName>
    <definedName name="포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6" l="1"/>
  <c r="G133" i="16"/>
  <c r="B23" i="11" l="1"/>
  <c r="D16" i="11"/>
  <c r="D15" i="11"/>
  <c r="D23" i="11" s="1"/>
  <c r="B12" i="11"/>
  <c r="D5" i="11"/>
  <c r="D4" i="11"/>
  <c r="D12" i="11" l="1"/>
</calcChain>
</file>

<file path=xl/sharedStrings.xml><?xml version="1.0" encoding="utf-8"?>
<sst xmlns="http://schemas.openxmlformats.org/spreadsheetml/2006/main" count="357" uniqueCount="280">
  <si>
    <t>No</t>
    <phoneticPr fontId="1" type="noConversion"/>
  </si>
  <si>
    <t>비고</t>
    <phoneticPr fontId="1" type="noConversion"/>
  </si>
  <si>
    <t>항목</t>
    <phoneticPr fontId="1" type="noConversion"/>
  </si>
  <si>
    <t>내용</t>
    <phoneticPr fontId="1" type="noConversion"/>
  </si>
  <si>
    <t>프로젝트명</t>
    <phoneticPr fontId="1" type="noConversion"/>
  </si>
  <si>
    <t>발주사/주관사</t>
    <phoneticPr fontId="1" type="noConversion"/>
  </si>
  <si>
    <t>프로젝트기간</t>
    <phoneticPr fontId="1" type="noConversion"/>
  </si>
  <si>
    <t>사용자수/라이선스수</t>
    <phoneticPr fontId="1" type="noConversion"/>
  </si>
  <si>
    <t>구분</t>
    <phoneticPr fontId="1" type="noConversion"/>
  </si>
  <si>
    <t>프로세스팀</t>
    <phoneticPr fontId="1" type="noConversion"/>
  </si>
  <si>
    <t>인프라팀</t>
    <phoneticPr fontId="1" type="noConversion"/>
  </si>
  <si>
    <t>계열사</t>
    <phoneticPr fontId="1" type="noConversion"/>
  </si>
  <si>
    <t>계약공수</t>
    <phoneticPr fontId="1" type="noConversion"/>
  </si>
  <si>
    <t>웹에디터</t>
    <phoneticPr fontId="1" type="noConversion"/>
  </si>
  <si>
    <t>인프라</t>
    <phoneticPr fontId="1" type="noConversion"/>
  </si>
  <si>
    <t>디자인</t>
    <phoneticPr fontId="1" type="noConversion"/>
  </si>
  <si>
    <t>조직도</t>
    <phoneticPr fontId="1" type="noConversion"/>
  </si>
  <si>
    <t>메일</t>
    <phoneticPr fontId="1" type="noConversion"/>
  </si>
  <si>
    <t>프로세스</t>
    <phoneticPr fontId="1" type="noConversion"/>
  </si>
  <si>
    <t>기능</t>
    <phoneticPr fontId="1" type="noConversion"/>
  </si>
  <si>
    <t>영업본부</t>
    <phoneticPr fontId="1" type="noConversion"/>
  </si>
  <si>
    <t>단계</t>
    <phoneticPr fontId="1" type="noConversion"/>
  </si>
  <si>
    <t>수주보고</t>
    <phoneticPr fontId="1" type="noConversion"/>
  </si>
  <si>
    <t>인수인계 실시</t>
    <phoneticPr fontId="1" type="noConversion"/>
  </si>
  <si>
    <t>프로젝트 착수</t>
    <phoneticPr fontId="1" type="noConversion"/>
  </si>
  <si>
    <t>사업(프로젝트) 목적-구체적으로</t>
    <phoneticPr fontId="1" type="noConversion"/>
  </si>
  <si>
    <t>인정실적 금액</t>
    <phoneticPr fontId="1" type="noConversion"/>
  </si>
  <si>
    <t>MP, CP 구분</t>
    <phoneticPr fontId="1" type="noConversion"/>
  </si>
  <si>
    <t>O</t>
    <phoneticPr fontId="1" type="noConversion"/>
  </si>
  <si>
    <t>X</t>
    <phoneticPr fontId="1" type="noConversion"/>
  </si>
  <si>
    <t>그룹웨어</t>
    <phoneticPr fontId="1" type="noConversion"/>
  </si>
  <si>
    <t xml:space="preserve">이음톡 </t>
    <phoneticPr fontId="1" type="noConversion"/>
  </si>
  <si>
    <t xml:space="preserve">조직도 </t>
    <phoneticPr fontId="1" type="noConversion"/>
  </si>
  <si>
    <t>휴가관리</t>
    <phoneticPr fontId="1" type="noConversion"/>
  </si>
  <si>
    <t>전자결재 및 연동양식</t>
    <phoneticPr fontId="1" type="noConversion"/>
  </si>
  <si>
    <t>협업팀</t>
    <phoneticPr fontId="1" type="noConversion"/>
  </si>
  <si>
    <t>-</t>
    <phoneticPr fontId="1" type="noConversion"/>
  </si>
  <si>
    <t>고객 요구 오픈일자</t>
    <phoneticPr fontId="1" type="noConversion"/>
  </si>
  <si>
    <t>근태관리 / 세콤연계</t>
    <phoneticPr fontId="1" type="noConversion"/>
  </si>
  <si>
    <t>패키지 기본이 아닌 추가된 설명페이지 전체 (구축목표, 시스템구성도, 솔루션소개, 사업관리 전체)</t>
    <phoneticPr fontId="1" type="noConversion"/>
  </si>
  <si>
    <t>제안발표시 나온 Q&amp;A 핵심내용</t>
    <phoneticPr fontId="1" type="noConversion"/>
  </si>
  <si>
    <t>메신저 및 외부 메신저 연계 요건?</t>
    <phoneticPr fontId="1" type="noConversion"/>
  </si>
  <si>
    <t>계약서</t>
    <phoneticPr fontId="1" type="noConversion"/>
  </si>
  <si>
    <t>SI 모듈 (1MM이상)</t>
    <phoneticPr fontId="1" type="noConversion"/>
  </si>
  <si>
    <t>AS-IS 그룹웨어 시스템</t>
    <phoneticPr fontId="1" type="noConversion"/>
  </si>
  <si>
    <t>모듈</t>
    <phoneticPr fontId="1" type="noConversion"/>
  </si>
  <si>
    <t>전자결재</t>
    <phoneticPr fontId="1" type="noConversion"/>
  </si>
  <si>
    <t>디자인적인 특별 요구사항이 있는가, 관심도는?, 자체 디자인팀이 존재하는가?</t>
    <phoneticPr fontId="1" type="noConversion"/>
  </si>
  <si>
    <t>제안서</t>
    <phoneticPr fontId="1" type="noConversion"/>
  </si>
  <si>
    <t>구분</t>
    <phoneticPr fontId="1" type="noConversion"/>
  </si>
  <si>
    <t>양식 수</t>
    <phoneticPr fontId="1" type="noConversion"/>
  </si>
  <si>
    <t>개당 MD</t>
    <phoneticPr fontId="1" type="noConversion"/>
  </si>
  <si>
    <t>MM</t>
    <phoneticPr fontId="1" type="noConversion"/>
  </si>
  <si>
    <t>비고</t>
    <phoneticPr fontId="1" type="noConversion"/>
  </si>
  <si>
    <t>일반</t>
    <phoneticPr fontId="1" type="noConversion"/>
  </si>
  <si>
    <r>
      <rPr>
        <sz val="11"/>
        <color theme="1"/>
        <rFont val="맑은 고딕"/>
        <family val="2"/>
        <charset val="129"/>
        <scheme val="minor"/>
      </rPr>
      <t>-</t>
    </r>
    <phoneticPr fontId="14" type="noConversion"/>
  </si>
  <si>
    <t>연계</t>
    <phoneticPr fontId="14" type="noConversion"/>
  </si>
  <si>
    <t>합계</t>
    <phoneticPr fontId="1" type="noConversion"/>
  </si>
  <si>
    <t>연계</t>
    <phoneticPr fontId="14" type="noConversion"/>
  </si>
  <si>
    <t>- 기존 모바일 결재 리스트 기준으로 산정</t>
    <phoneticPr fontId="14" type="noConversion"/>
  </si>
  <si>
    <t>일자</t>
    <phoneticPr fontId="1" type="noConversion"/>
  </si>
  <si>
    <t>작성자</t>
    <phoneticPr fontId="1" type="noConversion"/>
  </si>
  <si>
    <t>일지내용</t>
    <phoneticPr fontId="1" type="noConversion"/>
  </si>
  <si>
    <t>비고</t>
    <phoneticPr fontId="1" type="noConversion"/>
  </si>
  <si>
    <t>20.08.10</t>
    <phoneticPr fontId="1" type="noConversion"/>
  </si>
  <si>
    <t>김준석</t>
    <phoneticPr fontId="1" type="noConversion"/>
  </si>
  <si>
    <t>20.07.01</t>
    <phoneticPr fontId="1" type="noConversion"/>
  </si>
  <si>
    <t>김형수</t>
    <phoneticPr fontId="1" type="noConversion"/>
  </si>
  <si>
    <t>20.06.09</t>
    <phoneticPr fontId="1" type="noConversion"/>
  </si>
  <si>
    <t>20.06.09</t>
    <phoneticPr fontId="1" type="noConversion"/>
  </si>
  <si>
    <t>최성진</t>
    <phoneticPr fontId="1" type="noConversion"/>
  </si>
  <si>
    <t>- 제안 PT, 시연, 질의 응답 진행
- 이음톡 외부 사용자 초대 인원수 관련 질의
- RSS 포탈 웹파트 관련 질의
- 메일 수신자 동명이인 표시 우선순위 사용자 조정 관련 질의
- 메일 회신, 전체회신시 첨부파일 포함 여부 선택 관련 질의
- 메일 삭제(단일, 다중)시 Delete 키를 통한 삭제 관련 질의
- 게시판의 좋아요 등을 활용한 집단지성 활용 관련 질의
- 현대차그룹에서의 잔디 솔루션 사용 관련 질의
- 개인정보, 첨부파일 검출 등을 통한 승인 메일 적용 관련 질의
- 외부메일에 대한 회수 관련 질의 (O365의 메일 파기 기능 활용 등)
- 문서공동편집 등의 협업툴 관련 질의
- 메일 자동규칙 설정을 통한 메일 폴더 이동 관련 질의
- 제안사 매출액 및 CS본부 역할 관련 질의
- 시스템 구성 관련 질의 (가상화, 이중화 등)
- 향후 O365 확장 시 그룹웨어와의 연계 관련 질의</t>
    <phoneticPr fontId="1" type="noConversion"/>
  </si>
  <si>
    <t>- 메신저 사용에서 외부인 계정에 대해 지원 및 비용 문의
  해당 부분 링크로 전달됨으로 답변, 계정 생성이 아니라 추가 비용 없음으로 답변
- RSS 기능 문의
- 집단지성을 위해 게시판 활용(답글, 댓글, 좋아요 등) 문의
- 나가는 메일에 대해 첨부파일을 스캔해서 방지하는 기능 문의 : DLP 도입 필요건으로 답변
- 메일 회수 기능 문의 : 고객 내부 정리는 DRM 으로 처리
- 메일에서 회신, 전체회신에 대해 첨부 포함여부 문의
  포탈 메일이나 글로벌 메일에서 회신, 전체회신은 첨부가 빠지는 것이 일반적이 기능으로 설명</t>
    <phoneticPr fontId="1" type="noConversion"/>
  </si>
  <si>
    <t>20.04.23</t>
    <phoneticPr fontId="1" type="noConversion"/>
  </si>
  <si>
    <t>김형수</t>
    <phoneticPr fontId="1" type="noConversion"/>
  </si>
  <si>
    <t>- 제안 발표 진행
- O365 에 대해 국내외 해외와 같이 구분하여 해외 O365, 국내 Exchange 가능한지 문의 
- 개인연락처 공유 기능 문의
- 전사공지 알림 문의 : 모바일 푸쉬로 답변
- 시스템 접속 로그 문의 : 사용자 접속 로그 관리자 기능 제공
  전자결재 메인 페이지와 같은 레벨 등 관리자 통계 제공, DB 에 보다 많은 정보들 로그 활용 가능
- 요건에 없었던 근태관리 문의
  CP 기준으로 데모 및 설명 (타각, 모바일 출퇴근, 주52시간에 대해 주별 누적 시간 등)
- O365 를 안쓸 경우 업무관리 어떻게 할지에 대한 문의
  CP 의 통합업무관리 시연 및 답변
- O365 를 사용하지 않을 경우 팀즈와 플래너 시나리오 제약
  상황에 따라 MP 에 근태관리 및 통합업무관리 개발 요건 발생 가능성 있음</t>
    <phoneticPr fontId="1" type="noConversion"/>
  </si>
  <si>
    <t>- 하이브리드 구성 관련 질의 (시스템 구성, Exchange 활용, 모바일 앱 등)
- 한 사용자의 O365와 On-Premise Exchange 사서함 동시 구성 및 동기화 관련 질의
- 한 사용자가 국내에서는 On-Premise + 웹메일, 해외에서는 O365 + Ootlook 사용 고려
- 연락처 관련 질의 (개인 연락처 공유, 부서 연락처 등)
- 파수닷컴 DRM 사용 중으로 암,복호화 연계 관련 질의
- 전 직원 대상 공지에 대한 효율적인 방안 질의
- 주 52시간 근태관리 질의 (출,퇴근 확인, 팀별 근태현황 조회, 모바일 타각 등)
- 업무관리 관련 질의 (Task 생성, 진도율(Gantt), 관련문서 등)
- 시스템 접속 로그, 이동한 메뉴 로그 등 관련 질의</t>
    <phoneticPr fontId="1" type="noConversion"/>
  </si>
  <si>
    <t>20.02.20</t>
    <phoneticPr fontId="1" type="noConversion"/>
  </si>
  <si>
    <t>최성진</t>
    <phoneticPr fontId="1" type="noConversion"/>
  </si>
  <si>
    <t>- 그룹웨어, 전자결재, Exchange 메일, 협업 관련 주요 검토 
- 고객사는 그룹사 형태로 3개 계열사 및 하부 자회사로 구성
- 3걔 계열사는 신성이엔지, 신성에프에이, 우리기술투자이며, 신성씨에스, 시너스텍은 별도 자회사 형태로 보임
- 해외법인(중국, 베트남, 싱가폴) 보유하고 있으며, 속도 이슈로 Offcie 365 검토
- 전자결재 긴급결재 알림, 결재지연 알림 등에 대한 알림 요구
- 의사결정이 필요한 처리 건에 대하여 별도 처리 방안 요구
- 메일 관련 Exchange 구축을 고려하며, Op-Premise vs O365 고려
- Outlook Add-In (WEB APP) 언급 (조직도, 대용량 첨부)
- 일정 관련 Exchange 일정, Google 일정 연계 요구
- 협업 및 프로젝트관리 요청으로 통합업무관리, 이음톡 언급
- 기존 제품 필라넷(웹플러스) 데이터 이관 필요</t>
    <phoneticPr fontId="1" type="noConversion"/>
  </si>
  <si>
    <t>2. 필수: 체크리스트, 영업일지 History 및 기타 논의된 메일링</t>
    <phoneticPr fontId="1" type="noConversion"/>
  </si>
  <si>
    <t>날짜 역순 작성 및 필요부분 노란색 표시, 제외부분 취소선 권장 ( 필수 설명 )</t>
    <phoneticPr fontId="1" type="noConversion"/>
  </si>
  <si>
    <t>- 공수 : 모듈별로 구분했으며, 최종 공수를 기재한다. (합산된 공수를 수주보고시 기재함, 고객제출공수와, 내부 산정공수가 다를 경우 코멘트 기입)</t>
    <phoneticPr fontId="1" type="noConversion"/>
  </si>
  <si>
    <t>- 내용 : 모듈별 질의 내용을 기입하되, 이해를 위한 것이므로 나름대로 덧붙여 설명 가능</t>
    <phoneticPr fontId="1" type="noConversion"/>
  </si>
  <si>
    <t xml:space="preserve">- 포함모듈 : 계약범위에 포함 여부를  o, x 로 표기한다. </t>
    <phoneticPr fontId="1" type="noConversion"/>
  </si>
  <si>
    <t>4.  공수산정/양식공수/요구기능표 : presales에서 작성한 공수산정표를 복사 붙인다. (반드시 최종본으로 유첨한다)</t>
    <phoneticPr fontId="1" type="noConversion"/>
  </si>
  <si>
    <t>도출 리스크/이슈</t>
    <phoneticPr fontId="1" type="noConversion"/>
  </si>
  <si>
    <t>수행본부(PM,개발팀)</t>
    <phoneticPr fontId="1" type="noConversion"/>
  </si>
  <si>
    <t>7. PM, 유관팀장 수주보고 합의</t>
    <phoneticPr fontId="1" type="noConversion"/>
  </si>
  <si>
    <t>8. PM-프로젝트 주간보고에 리스크 등재</t>
    <phoneticPr fontId="1" type="noConversion"/>
  </si>
  <si>
    <t>9. PM-집행계획때 영업인수인계 재첨부</t>
    <phoneticPr fontId="1" type="noConversion"/>
  </si>
  <si>
    <t>6.수주보고 (수주보고시 인수인계서 유첨)</t>
    <phoneticPr fontId="1" type="noConversion"/>
  </si>
  <si>
    <t>§ 체크리스트 작성법</t>
    <phoneticPr fontId="1" type="noConversion"/>
  </si>
  <si>
    <t>3. 수신자료 열람
- PM - 전체 자료 사전 숙지
- 개발팀 - 해당 영역에 대해 자료 확인</t>
    <phoneticPr fontId="1" type="noConversion"/>
  </si>
  <si>
    <t xml:space="preserve">  - 인수인계완료 후, 재확인이 필요하거나 리스크/이슈에 대하여 체크리스트의 "도출 리스크/이슈" 항목에 기재하여 공유(담당자 표시)</t>
    <phoneticPr fontId="1" type="noConversion"/>
  </si>
  <si>
    <t>- 리스크/이슈관리의 대응 진행상황 추가기재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</si>
  <si>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※ 수신자료 미흡시 인수인계 거부 가능</t>
    </r>
    <r>
      <rPr>
        <sz val="10"/>
        <color theme="1"/>
        <rFont val="맑은 고딕"/>
        <family val="3"/>
        <charset val="129"/>
        <scheme val="minor"/>
      </rPr>
      <t xml:space="preserve">
  - PM: 전체자료 사전 숙지
  - 개발팀: 해당 영역에 대한 자료 확인</t>
    </r>
    <phoneticPr fontId="1" type="noConversion"/>
  </si>
  <si>
    <t>코비젼</t>
    <phoneticPr fontId="1" type="noConversion"/>
  </si>
  <si>
    <t>NO</t>
    <phoneticPr fontId="1" type="noConversion"/>
  </si>
  <si>
    <t>포함</t>
    <phoneticPr fontId="1" type="noConversion"/>
  </si>
  <si>
    <t xml:space="preserve">e-Accounting </t>
    <phoneticPr fontId="1" type="noConversion"/>
  </si>
  <si>
    <t xml:space="preserve">모바일 </t>
    <phoneticPr fontId="1" type="noConversion"/>
  </si>
  <si>
    <t>그룹웨어연계(통합검색/DRM/타메신저/o365등)</t>
    <phoneticPr fontId="1" type="noConversion"/>
  </si>
  <si>
    <t>담당</t>
    <phoneticPr fontId="1" type="noConversion"/>
  </si>
  <si>
    <t>웹메일, CP메일</t>
    <phoneticPr fontId="1" type="noConversion"/>
  </si>
  <si>
    <t>마이그레이션 (전자결재)</t>
    <phoneticPr fontId="1" type="noConversion"/>
  </si>
  <si>
    <t>마이그레이션 (메일)</t>
    <phoneticPr fontId="1" type="noConversion"/>
  </si>
  <si>
    <t>마이그레이션 (게시 등)</t>
    <phoneticPr fontId="1" type="noConversion"/>
  </si>
  <si>
    <t>Add-in (아웃룩addin)</t>
    <phoneticPr fontId="1" type="noConversion"/>
  </si>
  <si>
    <t>도출 리스크/이슈(담당자)</t>
    <phoneticPr fontId="1" type="noConversion"/>
  </si>
  <si>
    <t>문서뷰어(Synap Document Viewer)</t>
    <phoneticPr fontId="1" type="noConversion"/>
  </si>
  <si>
    <t>통합검색 (쓰리소프트플러스)</t>
    <phoneticPr fontId="1" type="noConversion"/>
  </si>
  <si>
    <t>웹에디터(DEXT5)</t>
    <phoneticPr fontId="1" type="noConversion"/>
  </si>
  <si>
    <t>기본 매뉴얼 제공</t>
    <phoneticPr fontId="1" type="noConversion"/>
  </si>
  <si>
    <t>3rd party
(필요시 행 추가)</t>
    <phoneticPr fontId="1" type="noConversion"/>
  </si>
  <si>
    <t>제안요청서(RFP)</t>
    <phoneticPr fontId="1" type="noConversion"/>
  </si>
  <si>
    <t xml:space="preserve">범위, 일정, 계약조건 등의 독소조항 필수 설명 </t>
    <phoneticPr fontId="1" type="noConversion"/>
  </si>
  <si>
    <t>특이사항은?</t>
    <phoneticPr fontId="1" type="noConversion"/>
  </si>
  <si>
    <t>Demo를 보여준 모듈</t>
    <phoneticPr fontId="1" type="noConversion"/>
  </si>
  <si>
    <t>계약서 특이사항은 없는가?</t>
    <phoneticPr fontId="1" type="noConversion"/>
  </si>
  <si>
    <t>수행 기간 및 오픈일정 특이사항은?</t>
    <phoneticPr fontId="1" type="noConversion"/>
  </si>
  <si>
    <t>수행 방법 및 장소의 특이사항은?</t>
    <phoneticPr fontId="1" type="noConversion"/>
  </si>
  <si>
    <t>중도금, 잔금 지급시기 및 조건은?</t>
    <phoneticPr fontId="1" type="noConversion"/>
  </si>
  <si>
    <t>상주/비상주에 대한 설명은?</t>
    <phoneticPr fontId="1" type="noConversion"/>
  </si>
  <si>
    <t>문서뷰어 및 추가연계 요건?</t>
    <phoneticPr fontId="1" type="noConversion"/>
  </si>
  <si>
    <t>통합검색 제공 및 검색 업체?</t>
    <phoneticPr fontId="1" type="noConversion"/>
  </si>
  <si>
    <t>3rd party 의 지급조건 및 이행/하자 증권 안내는?</t>
    <phoneticPr fontId="1" type="noConversion"/>
  </si>
  <si>
    <t>3rd party
(필요시 행추가)</t>
    <phoneticPr fontId="1" type="noConversion"/>
  </si>
  <si>
    <t>외부연계(통합검색 /DRM / 타메신저/ o365 /ERP /기타)시스템 및 연계방식이나 범위?</t>
  </si>
  <si>
    <t>PM팀</t>
    <phoneticPr fontId="1" type="noConversion"/>
  </si>
  <si>
    <t>시스템 구성 및 서비스 범위 ?</t>
  </si>
  <si>
    <t>신규시스템 구성 or 기존시스템 확장 ?</t>
  </si>
  <si>
    <t>요구사항에 맞는 H/W 제안 및 도입 여부 ?</t>
  </si>
  <si>
    <t>마이그레이션 대상 시스템 에 따른 용량 확인 ?</t>
  </si>
  <si>
    <t>HW/SW 납품 주체 및 범위 ?</t>
  </si>
  <si>
    <t>개발서버 HW 및 개발 Tool 제안 및 제공여부 ?</t>
  </si>
  <si>
    <t>SI개발 특이사항이 있는가 ?</t>
  </si>
  <si>
    <t>마이그레이션 대상 및 범위는?</t>
  </si>
  <si>
    <t>근태관리 포함여부 / 세큼연계여부  및 수준</t>
  </si>
  <si>
    <t xml:space="preserve">개발대상 일반양식 개수 및 난이도 </t>
  </si>
  <si>
    <t xml:space="preserve">개발대상 연동양식 개수 및 난이도 </t>
  </si>
  <si>
    <t xml:space="preserve">연동양식 연동 방식 ? </t>
  </si>
  <si>
    <t>연동 대상 시스템 종류?</t>
  </si>
  <si>
    <t>기능에 대한 도출된 커스텀 요구사항 ?</t>
  </si>
  <si>
    <t>결재 관련 메타정보 레포팅 포함여부</t>
  </si>
  <si>
    <t>거래처 정산 (세금계산서) 포함여부?</t>
  </si>
  <si>
    <t>ERP전표연동 필요여부 및 ERP 개수?</t>
  </si>
  <si>
    <t>전자결재 마이그레이션 여부 및 범위</t>
  </si>
  <si>
    <t>추출 담당은 ? (고객사 또는 운영사 제공 여부, 또는 별도 계약)</t>
  </si>
  <si>
    <t>모바일 설치 서버 관련 설치 위치 - 망분리 여부?</t>
  </si>
  <si>
    <t>iOS 계정 및 인증서 안내는 ?</t>
  </si>
  <si>
    <t>Duns Number 안내는 ? (비용 부담 여부)</t>
  </si>
  <si>
    <t>as-IS 메신저 사용여부 및 기능요건?</t>
  </si>
  <si>
    <t>다국어</t>
    <phoneticPr fontId="1" type="noConversion"/>
  </si>
  <si>
    <t>설명</t>
    <phoneticPr fontId="1" type="noConversion"/>
  </si>
  <si>
    <t>포탈</t>
    <phoneticPr fontId="1" type="noConversion"/>
  </si>
  <si>
    <t>기타</t>
    <phoneticPr fontId="1" type="noConversion"/>
  </si>
  <si>
    <t>그룹웨어 부분 특이사항?</t>
    <phoneticPr fontId="1" type="noConversion"/>
  </si>
  <si>
    <t>전자결재 특이사항?</t>
    <phoneticPr fontId="1" type="noConversion"/>
  </si>
  <si>
    <t>메일 특이사항은?</t>
    <phoneticPr fontId="1" type="noConversion"/>
  </si>
  <si>
    <t>이어카운팅 팀</t>
    <phoneticPr fontId="1" type="noConversion"/>
  </si>
  <si>
    <t>이어카운팅 특이사항?</t>
    <phoneticPr fontId="1" type="noConversion"/>
  </si>
  <si>
    <t>마이그레이션 특이사항?</t>
    <phoneticPr fontId="1" type="noConversion"/>
  </si>
  <si>
    <t>모바일 앱 기타 특이사항?</t>
    <phoneticPr fontId="1" type="noConversion"/>
  </si>
  <si>
    <t>조직도 Sync 기타 특이사항?</t>
    <phoneticPr fontId="1" type="noConversion"/>
  </si>
  <si>
    <t>메신저</t>
    <phoneticPr fontId="1" type="noConversion"/>
  </si>
  <si>
    <t>이음톡 기타 특이사항?</t>
    <phoneticPr fontId="1" type="noConversion"/>
  </si>
  <si>
    <t>공수 합계</t>
    <phoneticPr fontId="1" type="noConversion"/>
  </si>
  <si>
    <t>공수관련 특이사항은?</t>
    <phoneticPr fontId="1" type="noConversion"/>
  </si>
  <si>
    <t>사업장(계열사) 별로 포탈을 별도로 만들어야 하는가?</t>
    <phoneticPr fontId="1" type="noConversion"/>
  </si>
  <si>
    <t>- 독소조항 필수 설명</t>
    <phoneticPr fontId="1" type="noConversion"/>
  </si>
  <si>
    <t xml:space="preserve">- 'RFP와 차이나는 부분은?
- RFP에 없는 내용이지만, 고객이 추가 요청한 내용과 협의 결과는 ? </t>
    <phoneticPr fontId="1" type="noConversion"/>
  </si>
  <si>
    <r>
      <t xml:space="preserve"> - 신성이엔지 / 신성씨에스+씨너스텍 물리적 구분된 서버 구성시 각 시스템에서 계열사 조직도 동기화 가능 여부 확인 요청
    &gt; 물리적 구분된 서버 내에서 구현이 어려움을 안내하였으나 가능한 방안에 대한 추가 확인 요청
- 구매한 라이센스 수량 대비 초과시 사용 가능한 추가 라이센스 수량 문의 &gt; 구매 수량에 비례하며 추가 사용 필요시 구매 필요 안내
    &gt; 상기 문의 건은 계약서 내에 포함하여 명시 요청
- 추가 라이센스 100EA 구매시 단가 문의 &gt; 100명 기준 웹에디터(DEXT5), 문서뷰어(사이냅소프트) 포함 개당 12만원 안내
- </t>
    </r>
    <r>
      <rPr>
        <b/>
        <u/>
        <sz val="9"/>
        <color rgb="FFFF0000"/>
        <rFont val="맑은 고딕"/>
        <family val="3"/>
        <charset val="129"/>
        <scheme val="minor"/>
      </rPr>
      <t>기존 제안한 프로젝트 기간은 결재 제외 4개월이나 고객사 담당자의 경우 프로젝트 진행 기간이 촉박하지 않도록 6개월로 조정 요청</t>
    </r>
    <r>
      <rPr>
        <sz val="9"/>
        <color theme="1"/>
        <rFont val="맑은 고딕"/>
        <family val="2"/>
        <charset val="129"/>
        <scheme val="minor"/>
      </rPr>
      <t xml:space="preserve">
   &gt; 프로젝트 지연되는 리스크 방지를 위한 목적
- 중도금 지급 시점 : '중간보고 시점' 문구 수정 요청 -&gt; 계약 체결 후 3개월 시점</t>
    </r>
    <phoneticPr fontId="1" type="noConversion"/>
  </si>
  <si>
    <r>
      <t xml:space="preserve">- ERP 가 URL에 화면ID 와 사번을 파라미터로 넘길 수 있는 구조
- 넘어간 ERP 에서는 사번으로 DRM 과 체크하여 퇴직자 여부 구분(권한 없는 경우 사용자 정보를 알 수 없습니다 라는 메세지 출력)
- 화면 ID 도 ERP 내에서 결재목록을 보여주는 고정 ID 값이며, 당사는 URL 만 오픈하면 되는 구조
- 추가로 결재 카운트는 ERP 의 카운트를 가져와서 보여주고, 클릭 시 위 설명과 같이 URL 및 파라미터로 오픈
- </t>
    </r>
    <r>
      <rPr>
        <b/>
        <u/>
        <sz val="9"/>
        <color rgb="FFFF0000"/>
        <rFont val="맑은 고딕"/>
        <family val="3"/>
        <charset val="129"/>
        <scheme val="minor"/>
      </rPr>
      <t>알림에 대해 ERP 결재에서 당사 알림테이블로 Insert 하는 기준으로 산정</t>
    </r>
    <r>
      <rPr>
        <sz val="9"/>
        <color theme="1"/>
        <rFont val="맑은 고딕"/>
        <family val="2"/>
        <charset val="129"/>
        <scheme val="minor"/>
      </rPr>
      <t xml:space="preserve">
- 고객 추가 문의 : 결재를 제외한 경우와 ERP 개편 시(내년 혹은 후내년 계획) 비용이 늘어나는 부분에 대해 문의
- 양식 수와 연계 방식에 따라 다름으로 가이드
- 관련 내용 영업대표 공유 (PM 및 양식, 연계 방식에 따라 다름)</t>
    </r>
    <phoneticPr fontId="1" type="noConversion"/>
  </si>
  <si>
    <t>공수(MM)</t>
    <phoneticPr fontId="1" type="noConversion"/>
  </si>
  <si>
    <t>세부 항목</t>
    <phoneticPr fontId="1" type="noConversion"/>
  </si>
  <si>
    <t>포탈 제공 개수나 특이 요구사항이 있는가 ?</t>
    <phoneticPr fontId="1" type="noConversion"/>
  </si>
  <si>
    <t>메일 마이그레이션 여부/방식(EML제공여부 등)</t>
    <phoneticPr fontId="1" type="noConversion"/>
  </si>
  <si>
    <t>그룹웨어 마이그레이션 범위(게시판,커뮤니티,SI성게시판등)</t>
    <phoneticPr fontId="1" type="noConversion"/>
  </si>
  <si>
    <t>기존에 전자증빙(법인카드,계산서)내역 계약여부?</t>
    <phoneticPr fontId="1" type="noConversion"/>
  </si>
  <si>
    <t>결재관련 내부연계(근태,휴가,CSR등)양식포함여부</t>
    <phoneticPr fontId="1" type="noConversion"/>
  </si>
  <si>
    <t>그룹웨어 특정모듈 제공여부(문서관리,업무관리)</t>
    <phoneticPr fontId="1" type="noConversion"/>
  </si>
  <si>
    <t>포탈/그룹웨어</t>
    <phoneticPr fontId="1" type="noConversion"/>
  </si>
  <si>
    <t>근태관리</t>
    <phoneticPr fontId="1" type="noConversion"/>
  </si>
  <si>
    <t>CP메일</t>
    <phoneticPr fontId="1" type="noConversion"/>
  </si>
  <si>
    <t>양식</t>
    <phoneticPr fontId="1" type="noConversion"/>
  </si>
  <si>
    <t>모바일 커스텀 개발요건 (결재,포털,메일 등)?</t>
  </si>
  <si>
    <t>모바일</t>
    <phoneticPr fontId="1" type="noConversion"/>
  </si>
  <si>
    <t>이관</t>
    <phoneticPr fontId="1" type="noConversion"/>
  </si>
  <si>
    <t>조직도 Sync여부 및 erp제품?</t>
    <phoneticPr fontId="1" type="noConversion"/>
  </si>
  <si>
    <t>Add-in</t>
    <phoneticPr fontId="1" type="noConversion"/>
  </si>
  <si>
    <t>3rd Party</t>
    <phoneticPr fontId="1" type="noConversion"/>
  </si>
  <si>
    <t xml:space="preserve"> ※ 작성 유의사항</t>
    <phoneticPr fontId="1" type="noConversion"/>
  </si>
  <si>
    <t>아웃룩Addin</t>
    <phoneticPr fontId="1" type="noConversion"/>
  </si>
  <si>
    <t>- 대용량, 조직도 포함</t>
    <phoneticPr fontId="1" type="noConversion"/>
  </si>
  <si>
    <r>
      <t>1. 파일명 규칙 : 영업인수인계 체크리스트_</t>
    </r>
    <r>
      <rPr>
        <i/>
        <u/>
        <sz val="11"/>
        <rFont val="맑은 고딕"/>
        <family val="3"/>
        <charset val="129"/>
        <scheme val="minor"/>
      </rPr>
      <t>프로젝트명</t>
    </r>
    <r>
      <rPr>
        <sz val="11"/>
        <rFont val="맑은 고딕"/>
        <family val="3"/>
        <charset val="129"/>
        <scheme val="minor"/>
      </rPr>
      <t>_YYYYMMDD</t>
    </r>
    <phoneticPr fontId="1" type="noConversion"/>
  </si>
  <si>
    <r>
      <t>3.  체크리스트의 "</t>
    </r>
    <r>
      <rPr>
        <b/>
        <u/>
        <sz val="11"/>
        <rFont val="맑은 고딕"/>
        <family val="3"/>
        <charset val="129"/>
        <scheme val="minor"/>
      </rPr>
      <t>옅은 노랑색</t>
    </r>
    <r>
      <rPr>
        <sz val="11"/>
        <rFont val="맑은 고딕"/>
        <family val="3"/>
        <charset val="129"/>
        <scheme val="minor"/>
      </rPr>
      <t>" 항목을 필수로 작성한다. (대상이 아닐 경우, "대상아님" 기재)</t>
    </r>
    <phoneticPr fontId="1" type="noConversion"/>
  </si>
  <si>
    <t>SI</t>
    <phoneticPr fontId="1" type="noConversion"/>
  </si>
  <si>
    <r>
      <t>- 영업대표는 "</t>
    </r>
    <r>
      <rPr>
        <b/>
        <u/>
        <sz val="12"/>
        <color rgb="FF0000FF"/>
        <rFont val="맑은 고딕"/>
        <family val="3"/>
        <charset val="129"/>
        <scheme val="minor"/>
      </rPr>
      <t>옅은 노랑색</t>
    </r>
    <r>
      <rPr>
        <sz val="10"/>
        <color theme="1"/>
        <rFont val="맑은 고딕"/>
        <family val="3"/>
        <charset val="129"/>
        <scheme val="minor"/>
      </rPr>
      <t xml:space="preserve">" 항목을 </t>
    </r>
    <r>
      <rPr>
        <b/>
        <u/>
        <sz val="12"/>
        <color rgb="FF0000FF"/>
        <rFont val="맑은 고딕"/>
        <family val="3"/>
        <charset val="129"/>
        <scheme val="minor"/>
      </rPr>
      <t>필수로 작성</t>
    </r>
    <r>
      <rPr>
        <sz val="10"/>
        <color theme="1"/>
        <rFont val="맑은 고딕"/>
        <family val="3"/>
        <charset val="129"/>
        <scheme val="minor"/>
      </rPr>
      <t>한다. (대상이 아닐 경우, "대상아님" 기재)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</si>
  <si>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▣ 필수문서</t>
    </r>
    <r>
      <rPr>
        <sz val="10"/>
        <color theme="1"/>
        <rFont val="맑은 고딕"/>
        <family val="3"/>
        <charset val="129"/>
        <scheme val="minor"/>
      </rPr>
      <t xml:space="preserve">
  - 전체공유: 인수인계체크리스트, RFP, 제안발표자료
  - PM공유: </t>
    </r>
    <r>
      <rPr>
        <b/>
        <sz val="10"/>
        <color theme="1"/>
        <rFont val="맑은 고딕"/>
        <family val="3"/>
        <charset val="129"/>
        <scheme val="minor"/>
      </rPr>
      <t>계약품의 문서, 계약서, 선투입요청서</t>
    </r>
    <r>
      <rPr>
        <sz val="10"/>
        <color theme="1"/>
        <rFont val="맑은 고딕"/>
        <family val="3"/>
        <charset val="129"/>
        <scheme val="minor"/>
      </rPr>
      <t>, 견적서, 매입견적서
※ 인수인계는 PM 투입전 5영업일 이전 가능하지만 PM의 투입은 반드시 '</t>
    </r>
    <r>
      <rPr>
        <b/>
        <u/>
        <sz val="10"/>
        <color theme="1"/>
        <rFont val="맑은 고딕"/>
        <family val="3"/>
        <charset val="129"/>
        <scheme val="minor"/>
      </rPr>
      <t>계약품의(내부보고) 혹은 선투입 요청서</t>
    </r>
    <r>
      <rPr>
        <sz val="10"/>
        <color theme="1"/>
        <rFont val="맑은 고딕"/>
        <family val="3"/>
        <charset val="129"/>
        <scheme val="minor"/>
      </rPr>
      <t>' 가 있어야 함.</t>
    </r>
    <phoneticPr fontId="1" type="noConversion"/>
  </si>
  <si>
    <t>인수인계 요청</t>
    <phoneticPr fontId="1" type="noConversion"/>
  </si>
  <si>
    <r>
      <t>- 영업대표는 인수인계 참석자들과 일정 협의
- 상세한 인수인계체크리스트 작성 필요(</t>
    </r>
    <r>
      <rPr>
        <b/>
        <u/>
        <sz val="9"/>
        <color rgb="FFFF0000"/>
        <rFont val="맑은 고딕"/>
        <family val="3"/>
        <charset val="129"/>
        <scheme val="minor"/>
      </rPr>
      <t>부실한 인수인계체크리스트는 인수인계 거부 될 수 있음</t>
    </r>
    <r>
      <rPr>
        <b/>
        <sz val="9"/>
        <color rgb="FFFF0000"/>
        <rFont val="맑은 고딕"/>
        <family val="3"/>
        <charset val="129"/>
        <scheme val="minor"/>
      </rPr>
      <t xml:space="preserve">)
</t>
    </r>
    <phoneticPr fontId="1" type="noConversion"/>
  </si>
  <si>
    <t>인력투입</t>
    <phoneticPr fontId="1" type="noConversion"/>
  </si>
  <si>
    <t>- 부실한 인수인계 시 재인수인계 요청 가능</t>
    <phoneticPr fontId="1" type="noConversion"/>
  </si>
  <si>
    <t>- PM은 리스크/이슈 관리</t>
    <phoneticPr fontId="1" type="noConversion"/>
  </si>
  <si>
    <t>- 인수인계받은 내용을 기준으로 유관 팀장들의 의견 기입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</si>
  <si>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※ 필수사항</t>
    </r>
    <r>
      <rPr>
        <sz val="10"/>
        <color theme="1"/>
        <rFont val="맑은 고딕"/>
        <family val="3"/>
        <charset val="129"/>
        <scheme val="minor"/>
      </rPr>
      <t xml:space="preserve">
  - 인력투입를 위해서는 </t>
    </r>
    <r>
      <rPr>
        <b/>
        <u/>
        <sz val="10"/>
        <color theme="1"/>
        <rFont val="맑은 고딕"/>
        <family val="3"/>
        <charset val="129"/>
        <scheme val="minor"/>
      </rPr>
      <t>계약품의(내부보고) 또는 선투입요청서 필수</t>
    </r>
    <r>
      <rPr>
        <sz val="10"/>
        <color theme="1"/>
        <rFont val="맑은 고딕"/>
        <family val="3"/>
        <charset val="129"/>
        <scheme val="minor"/>
      </rPr>
      <t xml:space="preserve">.(본부장간 합의 혹은 사업총괄임원의 허가시 증빙없이 투입가능)
  - 2주이상 계약 혹은 선투입요청서가 없을 경우 재인수인계 실시.
</t>
    </r>
    <phoneticPr fontId="1" type="noConversion"/>
  </si>
  <si>
    <t>제/개 정 이 력</t>
    <phoneticPr fontId="1" type="noConversion"/>
  </si>
  <si>
    <t>개정번호</t>
    <phoneticPr fontId="1" type="noConversion"/>
  </si>
  <si>
    <t>제/개정 페이지 및 내용</t>
    <phoneticPr fontId="1" type="noConversion"/>
  </si>
  <si>
    <t>제/개정일자</t>
    <phoneticPr fontId="1" type="noConversion"/>
  </si>
  <si>
    <t>1.1.0</t>
    <phoneticPr fontId="5" type="noConversion"/>
  </si>
  <si>
    <t>최초 작성</t>
    <phoneticPr fontId="1" type="noConversion"/>
  </si>
  <si>
    <t>영업인수인계 체크리스트</t>
    <phoneticPr fontId="1" type="noConversion"/>
  </si>
  <si>
    <t>1. 영업 인수인계 절차 및 역할</t>
    <phoneticPr fontId="1" type="noConversion"/>
  </si>
  <si>
    <t>2. 영업 인수인계 체크리스트</t>
    <phoneticPr fontId="1" type="noConversion"/>
  </si>
  <si>
    <t>가. 프로젝트 개요 설명</t>
    <phoneticPr fontId="1" type="noConversion"/>
  </si>
  <si>
    <t>나. 납품제품 설명</t>
    <phoneticPr fontId="1" type="noConversion"/>
  </si>
  <si>
    <t>다. 제안 요건 설명</t>
    <phoneticPr fontId="1" type="noConversion"/>
  </si>
  <si>
    <t>라. 업무요건 설명</t>
    <phoneticPr fontId="1" type="noConversion"/>
  </si>
  <si>
    <t>3. 업무일지 History 및 기타 비공식 메일/구두 응대 /기술본부 회신내용</t>
    <phoneticPr fontId="1" type="noConversion"/>
  </si>
  <si>
    <t>4. 양식 공수</t>
    <phoneticPr fontId="1" type="noConversion"/>
  </si>
  <si>
    <t>[유티아이 베트남법인] 그룹웨어 구축</t>
    <phoneticPr fontId="1" type="noConversion"/>
  </si>
  <si>
    <t>2026.02.26</t>
    <phoneticPr fontId="5" type="noConversion"/>
  </si>
  <si>
    <t>(주)코비젼 기업영업본부</t>
    <phoneticPr fontId="1" type="noConversion"/>
  </si>
  <si>
    <t>김경호</t>
    <phoneticPr fontId="1" type="noConversion"/>
  </si>
  <si>
    <t>2026.02.13</t>
    <phoneticPr fontId="1" type="noConversion"/>
  </si>
  <si>
    <t>유티아이 베트남법인 그룹웨어 시스템 구축</t>
    <phoneticPr fontId="1" type="noConversion"/>
  </si>
  <si>
    <t>UTI VINA</t>
    <phoneticPr fontId="1" type="noConversion"/>
  </si>
  <si>
    <t>300user</t>
    <phoneticPr fontId="1" type="noConversion"/>
  </si>
  <si>
    <t>UTI VINA Vinh Phuc</t>
    <phoneticPr fontId="1" type="noConversion"/>
  </si>
  <si>
    <t>그룹웨어 시스템 신규 구축</t>
    <phoneticPr fontId="1" type="noConversion"/>
  </si>
  <si>
    <t>2026.03.02 ~ 2026.07.01 (4개월)</t>
    <phoneticPr fontId="1" type="noConversion"/>
  </si>
  <si>
    <t>6월 중으로 협의</t>
    <phoneticPr fontId="1" type="noConversion"/>
  </si>
  <si>
    <t>13.6 MM</t>
    <phoneticPr fontId="1" type="noConversion"/>
  </si>
  <si>
    <t>CP</t>
    <phoneticPr fontId="1" type="noConversion"/>
  </si>
  <si>
    <t>신규구축이나, 국내 모기업에서는 비즈웰 사용 중</t>
    <phoneticPr fontId="1" type="noConversion"/>
  </si>
  <si>
    <t>- M365</t>
    <phoneticPr fontId="1" type="noConversion"/>
  </si>
  <si>
    <t>Add-in (Teams add-in)</t>
    <phoneticPr fontId="1" type="noConversion"/>
  </si>
  <si>
    <t>커뮤니케이션팀</t>
    <phoneticPr fontId="1" type="noConversion"/>
  </si>
  <si>
    <t>기술지원팀</t>
    <phoneticPr fontId="1" type="noConversion"/>
  </si>
  <si>
    <t>웹에디터(coviWeb-writer)</t>
    <phoneticPr fontId="1" type="noConversion"/>
  </si>
  <si>
    <t>- 포탈, 통합게시, 일정관리, 자원예약, 전자설문, 문서관리, 커뮤니티, 인명관리</t>
    <phoneticPr fontId="1" type="noConversion"/>
  </si>
  <si>
    <t>해당없음</t>
    <phoneticPr fontId="1" type="noConversion"/>
  </si>
  <si>
    <t>CP 버전으로 데모계정 발급</t>
    <phoneticPr fontId="1" type="noConversion"/>
  </si>
  <si>
    <t>당사 표준계약서 기반</t>
    <phoneticPr fontId="1" type="noConversion"/>
  </si>
  <si>
    <t>비상주 / 베트남 소재</t>
    <phoneticPr fontId="1" type="noConversion"/>
  </si>
  <si>
    <t>오픈 전과 후 총5일 간 현지지원 (지원시 교육필요)</t>
    <phoneticPr fontId="1" type="noConversion"/>
  </si>
  <si>
    <t>비상주 기준</t>
    <phoneticPr fontId="1" type="noConversion"/>
  </si>
  <si>
    <t>자사 coviWeb-writer</t>
    <phoneticPr fontId="1" type="noConversion"/>
  </si>
  <si>
    <t>사이냅소프트</t>
    <phoneticPr fontId="1" type="noConversion"/>
  </si>
  <si>
    <t>Eumtalk - 200user</t>
    <phoneticPr fontId="1" type="noConversion"/>
  </si>
  <si>
    <t>사간결재 요건이 있어, 사간 채팅기능 요구 가능성 있음</t>
    <phoneticPr fontId="1" type="noConversion"/>
  </si>
  <si>
    <t>중간보고시 50% &gt; 중간보고서 제출
검수완료시 50% &gt; 검수완료 후
invoice 발행 후 5일 이내 USD로 지급 (청구금액의 10% 제외든 금액으로 지급됨, FCT10% 반영)</t>
    <phoneticPr fontId="1" type="noConversion"/>
  </si>
  <si>
    <t>베트남 입국심사시 관광목적의 방문으로 기재 필수</t>
    <phoneticPr fontId="1" type="noConversion"/>
  </si>
  <si>
    <t>- 사업기간 4개월 (비상주)</t>
    <phoneticPr fontId="1" type="noConversion"/>
  </si>
  <si>
    <t>신규구성</t>
    <phoneticPr fontId="1" type="noConversion"/>
  </si>
  <si>
    <t>고객사 제공</t>
    <phoneticPr fontId="1" type="noConversion"/>
  </si>
  <si>
    <t>마이그레이션 없음</t>
    <phoneticPr fontId="1" type="noConversion"/>
  </si>
  <si>
    <t>단일구성의 VM spec 전달</t>
    <phoneticPr fontId="1" type="noConversion"/>
  </si>
  <si>
    <t>고객사 로컬환경에 구성 (2-noed-Hyper-v cluster 서버)</t>
    <phoneticPr fontId="1" type="noConversion"/>
  </si>
  <si>
    <t>CP 기반 (Web/WAS, DB, viewer, EUM, Mobile)</t>
    <phoneticPr fontId="1" type="noConversion"/>
  </si>
  <si>
    <t>특이사항 없음</t>
    <phoneticPr fontId="1" type="noConversion"/>
  </si>
  <si>
    <t>UTI VINA (V1) - 수동관리
UTI VINA Vinh Phuc (V2) - 영림원</t>
    <phoneticPr fontId="1" type="noConversion"/>
  </si>
  <si>
    <t>teams add-in</t>
    <phoneticPr fontId="1" type="noConversion"/>
  </si>
  <si>
    <t>exchange 기반 웹메일 구성</t>
    <phoneticPr fontId="1" type="noConversion"/>
  </si>
  <si>
    <t>M365 계정 동기화 (로컬 AD와 entra ID간 싱크 구성 중)</t>
    <phoneticPr fontId="1" type="noConversion"/>
  </si>
  <si>
    <t>M365연동</t>
    <phoneticPr fontId="1" type="noConversion"/>
  </si>
  <si>
    <t>일반양식 15종 기준 (다국어 버전의 양식을 별도로 제작할지, 하나의 양식에 국문/베트남어 병기하여 제작할지는 협의 필요)</t>
    <phoneticPr fontId="1" type="noConversion"/>
  </si>
  <si>
    <t>V1, V2간 사간결재 필수</t>
    <phoneticPr fontId="1" type="noConversion"/>
  </si>
  <si>
    <t>이행/안정화</t>
    <phoneticPr fontId="1" type="noConversion"/>
  </si>
  <si>
    <t>해당 없음</t>
    <phoneticPr fontId="1" type="noConversion"/>
  </si>
  <si>
    <t>외부사용자는 채널대화방에서만 초대 가능 사전 안내</t>
    <phoneticPr fontId="1" type="noConversion"/>
  </si>
  <si>
    <t>자원예약 &lt;&gt; 아웃룩 회의실 동기화 (현재 아웃룩 회의실 예약과 월패트간 양방향 싱크는 기 구성)</t>
    <phoneticPr fontId="1" type="noConversion"/>
  </si>
  <si>
    <t>V1, V2 멀티컴퍼니 구성</t>
    <phoneticPr fontId="1" type="noConversion"/>
  </si>
  <si>
    <t>V1, V2간 채팅기능 구현 요청 고려
베트남어 적용</t>
    <phoneticPr fontId="1" type="noConversion"/>
  </si>
  <si>
    <t>베트남 현지화를 위한 베트남어 적용 (기계어번역으로 제공하여 고객사가 검수하는 형태로 진행)</t>
    <phoneticPr fontId="1" type="noConversion"/>
  </si>
  <si>
    <t>버퍼</t>
    <phoneticPr fontId="1" type="noConversion"/>
  </si>
  <si>
    <t>V1, V2 - 레이아웃 동일</t>
    <phoneticPr fontId="1" type="noConversion"/>
  </si>
  <si>
    <t>시스템 현지화 목표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</si>
</sst>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i/>
      <u/>
      <sz val="1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u/>
      <sz val="9"/>
      <color rgb="FFFF0000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b/>
      <u/>
      <sz val="12"/>
      <color rgb="FF0000FF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</cellStyleXfs>
  <cellXfs count="387">
    <xf numFmtId="0" fontId="0" fillId="0" borderId="0" xfId="0">
      <alignment vertical="center"/>
    </xf>
    <xf numFmtId="0" fontId="9" fillId="0" borderId="0" xfId="4" applyFont="1">
      <alignment vertical="center"/>
    </xf>
    <xf numFmtId="0" fontId="2" fillId="0" borderId="0" xfId="4">
      <alignment vertical="center"/>
    </xf>
    <xf numFmtId="0" fontId="0" fillId="0" borderId="0" xfId="4" applyFont="1">
      <alignment vertical="center"/>
    </xf>
    <xf numFmtId="0" fontId="17" fillId="7" borderId="3" xfId="5" applyFont="1" applyFill="1" applyBorder="1" applyAlignment="1">
      <alignment horizontal="center" vertical="center"/>
    </xf>
    <xf numFmtId="0" fontId="2" fillId="0" borderId="0" xfId="5">
      <alignment vertical="center"/>
    </xf>
    <xf numFmtId="0" fontId="2" fillId="0" borderId="3" xfId="5" applyBorder="1" applyAlignment="1">
      <alignment horizontal="center" vertical="center"/>
    </xf>
    <xf numFmtId="0" fontId="2" fillId="0" borderId="3" xfId="5" quotePrefix="1" applyBorder="1" applyAlignment="1">
      <alignment vertical="center" wrapText="1"/>
    </xf>
    <xf numFmtId="0" fontId="2" fillId="0" borderId="3" xfId="5" applyBorder="1" applyAlignment="1">
      <alignment horizontal="left" vertical="center"/>
    </xf>
    <xf numFmtId="0" fontId="2" fillId="0" borderId="3" xfId="5" applyBorder="1" applyAlignment="1">
      <alignment horizontal="left" vertical="center" wrapText="1"/>
    </xf>
    <xf numFmtId="0" fontId="2" fillId="5" borderId="3" xfId="5" applyFill="1" applyBorder="1" applyAlignment="1">
      <alignment horizontal="center" vertical="center"/>
    </xf>
    <xf numFmtId="0" fontId="2" fillId="8" borderId="3" xfId="5" applyFill="1" applyBorder="1" applyAlignment="1">
      <alignment horizontal="center" vertical="center"/>
    </xf>
    <xf numFmtId="0" fontId="2" fillId="8" borderId="11" xfId="5" applyFill="1" applyBorder="1" applyAlignment="1">
      <alignment horizontal="center" vertical="center"/>
    </xf>
    <xf numFmtId="0" fontId="2" fillId="0" borderId="3" xfId="5" quotePrefix="1" applyBorder="1" applyAlignment="1">
      <alignment horizontal="left" vertical="center"/>
    </xf>
    <xf numFmtId="0" fontId="2" fillId="0" borderId="0" xfId="5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3" xfId="0" quotePrefix="1" applyBorder="1">
      <alignment vertical="center"/>
    </xf>
    <xf numFmtId="0" fontId="0" fillId="0" borderId="3" xfId="0" applyBorder="1">
      <alignment vertical="center"/>
    </xf>
    <xf numFmtId="0" fontId="19" fillId="0" borderId="3" xfId="0" quotePrefix="1" applyFont="1" applyBorder="1" applyAlignment="1">
      <alignment vertical="center" wrapText="1"/>
    </xf>
    <xf numFmtId="0" fontId="6" fillId="0" borderId="0" xfId="4" applyFont="1">
      <alignment vertical="center"/>
    </xf>
    <xf numFmtId="0" fontId="8" fillId="0" borderId="0" xfId="4" applyFont="1" applyAlignment="1">
      <alignment horizontal="center" vertical="center" wrapText="1"/>
    </xf>
    <xf numFmtId="0" fontId="6" fillId="6" borderId="0" xfId="4" applyFont="1" applyFill="1" applyAlignment="1">
      <alignment vertical="center" wrapText="1"/>
    </xf>
    <xf numFmtId="0" fontId="6" fillId="0" borderId="0" xfId="4" applyFont="1" applyAlignment="1">
      <alignment vertical="center" wrapText="1"/>
    </xf>
    <xf numFmtId="0" fontId="8" fillId="0" borderId="23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center" vertical="center" wrapText="1"/>
    </xf>
    <xf numFmtId="0" fontId="6" fillId="6" borderId="22" xfId="4" applyFont="1" applyFill="1" applyBorder="1" applyAlignment="1">
      <alignment vertical="center" wrapText="1"/>
    </xf>
    <xf numFmtId="0" fontId="8" fillId="0" borderId="26" xfId="4" applyFont="1" applyBorder="1" applyAlignment="1">
      <alignment horizontal="center" vertical="center" wrapText="1"/>
    </xf>
    <xf numFmtId="0" fontId="8" fillId="0" borderId="27" xfId="4" applyFont="1" applyBorder="1" applyAlignment="1">
      <alignment horizontal="center" vertical="center" wrapText="1"/>
    </xf>
    <xf numFmtId="0" fontId="6" fillId="0" borderId="25" xfId="4" applyFont="1" applyBorder="1" applyAlignment="1">
      <alignment vertical="center" wrapText="1"/>
    </xf>
    <xf numFmtId="0" fontId="6" fillId="0" borderId="29" xfId="4" applyFont="1" applyBorder="1" applyAlignment="1">
      <alignment vertical="center" wrapText="1"/>
    </xf>
    <xf numFmtId="0" fontId="6" fillId="6" borderId="25" xfId="4" applyFont="1" applyFill="1" applyBorder="1" applyAlignment="1">
      <alignment vertical="center" wrapText="1"/>
    </xf>
    <xf numFmtId="0" fontId="6" fillId="0" borderId="26" xfId="4" applyFont="1" applyBorder="1" applyAlignment="1">
      <alignment vertical="center" wrapText="1"/>
    </xf>
    <xf numFmtId="0" fontId="6" fillId="6" borderId="23" xfId="4" applyFont="1" applyFill="1" applyBorder="1" applyAlignment="1">
      <alignment vertical="center" wrapText="1"/>
    </xf>
    <xf numFmtId="0" fontId="6" fillId="0" borderId="27" xfId="4" applyFont="1" applyBorder="1" applyAlignment="1">
      <alignment vertical="center" wrapText="1"/>
    </xf>
    <xf numFmtId="0" fontId="10" fillId="0" borderId="33" xfId="4" quotePrefix="1" applyFont="1" applyBorder="1" applyAlignment="1">
      <alignment vertical="top" wrapText="1"/>
    </xf>
    <xf numFmtId="0" fontId="10" fillId="0" borderId="36" xfId="4" quotePrefix="1" applyFont="1" applyBorder="1" applyAlignment="1">
      <alignment vertical="top" wrapText="1"/>
    </xf>
    <xf numFmtId="0" fontId="15" fillId="0" borderId="37" xfId="4" quotePrefix="1" applyFont="1" applyBorder="1" applyAlignment="1">
      <alignment horizontal="left" vertical="top" wrapText="1"/>
    </xf>
    <xf numFmtId="0" fontId="15" fillId="0" borderId="32" xfId="4" applyFont="1" applyBorder="1" applyAlignment="1">
      <alignment vertical="center" wrapText="1"/>
    </xf>
    <xf numFmtId="0" fontId="15" fillId="0" borderId="38" xfId="4" applyFont="1" applyBorder="1" applyAlignment="1">
      <alignment horizontal="left" vertical="center" wrapText="1"/>
    </xf>
    <xf numFmtId="0" fontId="15" fillId="0" borderId="33" xfId="4" applyFont="1" applyBorder="1" applyAlignment="1">
      <alignment vertical="center" wrapText="1"/>
    </xf>
    <xf numFmtId="0" fontId="6" fillId="0" borderId="41" xfId="4" applyFont="1" applyBorder="1" applyAlignment="1">
      <alignment vertical="center" wrapText="1"/>
    </xf>
    <xf numFmtId="0" fontId="6" fillId="6" borderId="42" xfId="4" applyFont="1" applyFill="1" applyBorder="1" applyAlignment="1">
      <alignment vertical="center" wrapText="1"/>
    </xf>
    <xf numFmtId="0" fontId="10" fillId="0" borderId="43" xfId="4" quotePrefix="1" applyFont="1" applyBorder="1" applyAlignment="1">
      <alignment vertical="center" wrapText="1"/>
    </xf>
    <xf numFmtId="0" fontId="15" fillId="0" borderId="0" xfId="4" applyFont="1">
      <alignment vertical="center"/>
    </xf>
    <xf numFmtId="0" fontId="6" fillId="0" borderId="0" xfId="4" quotePrefix="1" applyFont="1" applyAlignment="1">
      <alignment horizontal="left" vertical="center" indent="1"/>
    </xf>
    <xf numFmtId="0" fontId="7" fillId="0" borderId="0" xfId="4" applyFont="1">
      <alignment vertical="center"/>
    </xf>
    <xf numFmtId="0" fontId="13" fillId="3" borderId="18" xfId="4" applyFont="1" applyFill="1" applyBorder="1" applyAlignment="1">
      <alignment horizontal="center" vertical="center"/>
    </xf>
    <xf numFmtId="0" fontId="13" fillId="3" borderId="11" xfId="4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42" xfId="0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8" fillId="2" borderId="50" xfId="4" applyFont="1" applyFill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0" fontId="15" fillId="0" borderId="2" xfId="4" applyFont="1" applyBorder="1" applyAlignment="1">
      <alignment horizontal="center" vertical="center" wrapText="1"/>
    </xf>
    <xf numFmtId="0" fontId="15" fillId="0" borderId="44" xfId="4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42" xfId="0" applyFont="1" applyBorder="1">
      <alignment vertical="center"/>
    </xf>
    <xf numFmtId="0" fontId="0" fillId="0" borderId="42" xfId="0" applyBorder="1">
      <alignment vertical="center"/>
    </xf>
    <xf numFmtId="0" fontId="7" fillId="0" borderId="42" xfId="0" applyFont="1" applyBorder="1" applyAlignment="1">
      <alignment horizontal="left" vertical="center"/>
    </xf>
    <xf numFmtId="0" fontId="13" fillId="3" borderId="48" xfId="4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vertical="center" wrapText="1"/>
    </xf>
    <xf numFmtId="0" fontId="24" fillId="0" borderId="0" xfId="0" applyFont="1">
      <alignment vertical="center"/>
    </xf>
    <xf numFmtId="0" fontId="8" fillId="2" borderId="57" xfId="0" applyFont="1" applyFill="1" applyBorder="1" applyAlignment="1">
      <alignment horizontal="center" vertical="center" wrapText="1"/>
    </xf>
    <xf numFmtId="0" fontId="25" fillId="0" borderId="42" xfId="0" applyFont="1" applyBorder="1">
      <alignment vertical="center"/>
    </xf>
    <xf numFmtId="0" fontId="10" fillId="0" borderId="7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8" fillId="4" borderId="50" xfId="4" applyFont="1" applyFill="1" applyBorder="1" applyAlignment="1">
      <alignment horizontal="center" vertical="center" wrapText="1"/>
    </xf>
    <xf numFmtId="0" fontId="8" fillId="4" borderId="57" xfId="4" applyFont="1" applyFill="1" applyBorder="1" applyAlignment="1">
      <alignment horizontal="center" vertical="center" wrapText="1"/>
    </xf>
    <xf numFmtId="0" fontId="8" fillId="4" borderId="54" xfId="4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6" fillId="3" borderId="47" xfId="4" applyFont="1" applyFill="1" applyBorder="1" applyAlignment="1">
      <alignment horizontal="left" vertical="center" wrapText="1" readingOrder="1"/>
    </xf>
    <xf numFmtId="0" fontId="16" fillId="3" borderId="49" xfId="4" applyFont="1" applyFill="1" applyBorder="1" applyAlignment="1">
      <alignment horizontal="left" vertical="center" wrapText="1" readingOrder="1"/>
    </xf>
    <xf numFmtId="0" fontId="16" fillId="3" borderId="48" xfId="4" applyFont="1" applyFill="1" applyBorder="1" applyAlignment="1">
      <alignment horizontal="left" vertical="center" wrapText="1" readingOrder="1"/>
    </xf>
    <xf numFmtId="0" fontId="16" fillId="0" borderId="0" xfId="4" applyFont="1" applyAlignment="1">
      <alignment vertical="center" wrapText="1" readingOrder="1"/>
    </xf>
    <xf numFmtId="0" fontId="16" fillId="0" borderId="0" xfId="4" quotePrefix="1" applyFont="1" applyAlignment="1">
      <alignment vertical="center" wrapText="1" readingOrder="1"/>
    </xf>
    <xf numFmtId="0" fontId="10" fillId="0" borderId="0" xfId="0" applyFont="1" applyAlignment="1">
      <alignment vertical="center" wrapText="1"/>
    </xf>
    <xf numFmtId="0" fontId="10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8" fillId="0" borderId="28" xfId="4" quotePrefix="1" applyFont="1" applyBorder="1" applyAlignment="1">
      <alignment horizontal="center" vertical="center" wrapText="1"/>
    </xf>
    <xf numFmtId="0" fontId="31" fillId="0" borderId="25" xfId="4" quotePrefix="1" applyFont="1" applyBorder="1" applyAlignment="1">
      <alignment horizontal="left" vertical="top" wrapText="1"/>
    </xf>
    <xf numFmtId="0" fontId="10" fillId="0" borderId="33" xfId="4" quotePrefix="1" applyFont="1" applyBorder="1" applyAlignment="1">
      <alignment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74" xfId="0" applyFont="1" applyBorder="1" applyAlignment="1">
      <alignment horizontal="center" vertical="center" wrapText="1"/>
    </xf>
    <xf numFmtId="0" fontId="32" fillId="10" borderId="0" xfId="8" applyFont="1" applyFill="1">
      <alignment vertical="center"/>
    </xf>
    <xf numFmtId="0" fontId="2" fillId="0" borderId="0" xfId="8">
      <alignment vertical="center"/>
    </xf>
    <xf numFmtId="0" fontId="33" fillId="0" borderId="0" xfId="8" applyFont="1">
      <alignment vertical="center"/>
    </xf>
    <xf numFmtId="0" fontId="34" fillId="10" borderId="0" xfId="8" applyFont="1" applyFill="1" applyAlignment="1">
      <alignment horizontal="right"/>
    </xf>
    <xf numFmtId="0" fontId="35" fillId="10" borderId="0" xfId="8" applyFont="1" applyFill="1" applyAlignment="1">
      <alignment horizontal="right" vertical="center"/>
    </xf>
    <xf numFmtId="0" fontId="4" fillId="10" borderId="0" xfId="8" applyFont="1" applyFill="1" applyAlignment="1">
      <alignment horizontal="right" vertical="center"/>
    </xf>
    <xf numFmtId="0" fontId="36" fillId="10" borderId="0" xfId="8" applyFont="1" applyFill="1" applyAlignment="1">
      <alignment horizontal="right" vertical="center"/>
    </xf>
    <xf numFmtId="0" fontId="37" fillId="10" borderId="0" xfId="8" applyFont="1" applyFill="1" applyAlignment="1">
      <alignment horizontal="center" vertical="center"/>
    </xf>
    <xf numFmtId="0" fontId="6" fillId="0" borderId="0" xfId="8" applyFont="1">
      <alignment vertical="center"/>
    </xf>
    <xf numFmtId="0" fontId="39" fillId="0" borderId="0" xfId="8" applyFont="1" applyAlignment="1">
      <alignment horizontal="center" vertical="center" wrapText="1"/>
    </xf>
    <xf numFmtId="0" fontId="32" fillId="0" borderId="0" xfId="8" applyFont="1" applyAlignment="1">
      <alignment horizontal="center" vertical="center"/>
    </xf>
    <xf numFmtId="0" fontId="39" fillId="0" borderId="0" xfId="8" applyFont="1" applyAlignment="1">
      <alignment horizontal="center" vertical="center"/>
    </xf>
    <xf numFmtId="0" fontId="37" fillId="10" borderId="0" xfId="8" applyFont="1" applyFill="1" applyAlignment="1">
      <alignment horizontal="center" vertical="center"/>
    </xf>
    <xf numFmtId="0" fontId="39" fillId="0" borderId="92" xfId="8" applyFont="1" applyBorder="1" applyAlignment="1">
      <alignment horizontal="center" vertical="center" wrapText="1"/>
    </xf>
    <xf numFmtId="0" fontId="39" fillId="0" borderId="48" xfId="8" applyFont="1" applyBorder="1" applyAlignment="1">
      <alignment horizontal="center" vertical="center" wrapText="1"/>
    </xf>
    <xf numFmtId="0" fontId="32" fillId="0" borderId="47" xfId="8" applyFont="1" applyBorder="1" applyAlignment="1">
      <alignment horizontal="center" vertical="center"/>
    </xf>
    <xf numFmtId="0" fontId="32" fillId="0" borderId="48" xfId="8" applyFont="1" applyBorder="1" applyAlignment="1">
      <alignment horizontal="center" vertical="center"/>
    </xf>
    <xf numFmtId="0" fontId="32" fillId="0" borderId="49" xfId="8" applyFont="1" applyBorder="1" applyAlignment="1">
      <alignment horizontal="center" vertical="center"/>
    </xf>
    <xf numFmtId="0" fontId="32" fillId="0" borderId="93" xfId="8" applyFont="1" applyBorder="1" applyAlignment="1">
      <alignment horizontal="center" vertical="center"/>
    </xf>
    <xf numFmtId="0" fontId="39" fillId="0" borderId="94" xfId="8" applyFont="1" applyBorder="1" applyAlignment="1">
      <alignment horizontal="center" vertical="center"/>
    </xf>
    <xf numFmtId="0" fontId="39" fillId="0" borderId="95" xfId="8" applyFont="1" applyBorder="1" applyAlignment="1">
      <alignment horizontal="center" vertical="center"/>
    </xf>
    <xf numFmtId="177" fontId="38" fillId="0" borderId="88" xfId="8" applyNumberFormat="1" applyFont="1" applyBorder="1" applyAlignment="1">
      <alignment horizontal="center" vertical="center" wrapText="1"/>
    </xf>
    <xf numFmtId="177" fontId="38" fillId="0" borderId="11" xfId="8" applyNumberFormat="1" applyFont="1" applyBorder="1" applyAlignment="1">
      <alignment horizontal="center" vertical="center" wrapText="1"/>
    </xf>
    <xf numFmtId="0" fontId="6" fillId="0" borderId="4" xfId="8" applyFont="1" applyBorder="1" applyAlignment="1">
      <alignment horizontal="center" vertical="center"/>
    </xf>
    <xf numFmtId="0" fontId="6" fillId="0" borderId="11" xfId="8" applyFont="1" applyBorder="1" applyAlignment="1">
      <alignment horizontal="center" vertical="center"/>
    </xf>
    <xf numFmtId="0" fontId="6" fillId="0" borderId="12" xfId="8" applyFont="1" applyBorder="1" applyAlignment="1">
      <alignment horizontal="center" vertical="center"/>
    </xf>
    <xf numFmtId="0" fontId="6" fillId="0" borderId="89" xfId="8" applyFont="1" applyBorder="1" applyAlignment="1">
      <alignment horizontal="center" vertical="center"/>
    </xf>
    <xf numFmtId="0" fontId="6" fillId="0" borderId="90" xfId="8" applyFont="1" applyBorder="1" applyAlignment="1">
      <alignment horizontal="center" vertical="center"/>
    </xf>
    <xf numFmtId="0" fontId="6" fillId="0" borderId="91" xfId="8" applyFont="1" applyBorder="1" applyAlignment="1">
      <alignment horizontal="center" vertical="center"/>
    </xf>
    <xf numFmtId="0" fontId="38" fillId="0" borderId="4" xfId="8" applyFont="1" applyBorder="1" applyAlignment="1">
      <alignment horizontal="center" vertical="center"/>
    </xf>
    <xf numFmtId="0" fontId="38" fillId="0" borderId="11" xfId="8" applyFont="1" applyBorder="1" applyAlignment="1">
      <alignment horizontal="center" vertical="center"/>
    </xf>
    <xf numFmtId="0" fontId="38" fillId="0" borderId="12" xfId="8" applyFont="1" applyBorder="1" applyAlignment="1">
      <alignment horizontal="center" vertical="center"/>
    </xf>
    <xf numFmtId="0" fontId="38" fillId="0" borderId="89" xfId="8" applyFont="1" applyBorder="1" applyAlignment="1">
      <alignment horizontal="center" vertical="center"/>
    </xf>
    <xf numFmtId="0" fontId="38" fillId="0" borderId="90" xfId="8" applyFont="1" applyBorder="1" applyAlignment="1">
      <alignment horizontal="center" vertical="center"/>
    </xf>
    <xf numFmtId="0" fontId="38" fillId="0" borderId="91" xfId="8" applyFont="1" applyBorder="1" applyAlignment="1">
      <alignment horizontal="center" vertical="center"/>
    </xf>
    <xf numFmtId="0" fontId="37" fillId="0" borderId="0" xfId="8" applyFont="1" applyAlignment="1">
      <alignment horizontal="center" vertical="center"/>
    </xf>
    <xf numFmtId="177" fontId="32" fillId="8" borderId="84" xfId="8" applyNumberFormat="1" applyFont="1" applyFill="1" applyBorder="1" applyAlignment="1">
      <alignment horizontal="center" vertical="center" wrapText="1"/>
    </xf>
    <xf numFmtId="177" fontId="32" fillId="8" borderId="68" xfId="8" applyNumberFormat="1" applyFont="1" applyFill="1" applyBorder="1" applyAlignment="1">
      <alignment horizontal="center" vertical="center" wrapText="1"/>
    </xf>
    <xf numFmtId="0" fontId="32" fillId="8" borderId="66" xfId="8" applyFont="1" applyFill="1" applyBorder="1" applyAlignment="1">
      <alignment horizontal="center" vertical="center"/>
    </xf>
    <xf numFmtId="0" fontId="32" fillId="8" borderId="68" xfId="8" applyFont="1" applyFill="1" applyBorder="1" applyAlignment="1">
      <alignment horizontal="center" vertical="center"/>
    </xf>
    <xf numFmtId="0" fontId="32" fillId="8" borderId="67" xfId="8" applyFont="1" applyFill="1" applyBorder="1" applyAlignment="1">
      <alignment horizontal="center" vertical="center"/>
    </xf>
    <xf numFmtId="0" fontId="32" fillId="8" borderId="85" xfId="8" applyFont="1" applyFill="1" applyBorder="1" applyAlignment="1">
      <alignment horizontal="center" vertical="center"/>
    </xf>
    <xf numFmtId="0" fontId="32" fillId="8" borderId="86" xfId="8" applyFont="1" applyFill="1" applyBorder="1" applyAlignment="1">
      <alignment horizontal="center" vertical="center"/>
    </xf>
    <xf numFmtId="0" fontId="32" fillId="8" borderId="87" xfId="8" applyFont="1" applyFill="1" applyBorder="1" applyAlignment="1">
      <alignment horizontal="center" vertical="center"/>
    </xf>
    <xf numFmtId="0" fontId="8" fillId="0" borderId="31" xfId="4" applyFont="1" applyBorder="1" applyAlignment="1">
      <alignment horizontal="center" vertical="center" wrapText="1"/>
    </xf>
    <xf numFmtId="0" fontId="8" fillId="0" borderId="35" xfId="4" applyFont="1" applyBorder="1" applyAlignment="1">
      <alignment horizontal="center" vertical="center" wrapText="1"/>
    </xf>
    <xf numFmtId="0" fontId="10" fillId="0" borderId="32" xfId="4" applyFont="1" applyBorder="1" applyAlignment="1">
      <alignment horizontal="left" vertical="top" wrapText="1"/>
    </xf>
    <xf numFmtId="0" fontId="10" fillId="0" borderId="33" xfId="4" applyFont="1" applyBorder="1" applyAlignment="1">
      <alignment horizontal="left" vertical="top" wrapText="1"/>
    </xf>
    <xf numFmtId="0" fontId="10" fillId="0" borderId="34" xfId="4" applyFont="1" applyBorder="1" applyAlignment="1">
      <alignment horizontal="left" vertical="top" wrapText="1"/>
    </xf>
    <xf numFmtId="0" fontId="15" fillId="0" borderId="31" xfId="4" applyFont="1" applyBorder="1" applyAlignment="1">
      <alignment horizontal="left" vertical="center" wrapText="1"/>
    </xf>
    <xf numFmtId="0" fontId="15" fillId="0" borderId="35" xfId="4" applyFont="1" applyBorder="1" applyAlignment="1">
      <alignment horizontal="left" vertical="center" wrapText="1"/>
    </xf>
    <xf numFmtId="0" fontId="15" fillId="0" borderId="39" xfId="4" applyFont="1" applyBorder="1" applyAlignment="1">
      <alignment horizontal="left" vertical="center" wrapText="1"/>
    </xf>
    <xf numFmtId="0" fontId="15" fillId="0" borderId="40" xfId="4" applyFont="1" applyBorder="1" applyAlignment="1">
      <alignment horizontal="left" vertical="center" wrapText="1"/>
    </xf>
    <xf numFmtId="0" fontId="10" fillId="0" borderId="37" xfId="4" quotePrefix="1" applyFont="1" applyBorder="1" applyAlignment="1">
      <alignment horizontal="left" vertical="top" wrapText="1"/>
    </xf>
    <xf numFmtId="0" fontId="10" fillId="0" borderId="83" xfId="4" quotePrefix="1" applyFont="1" applyBorder="1" applyAlignment="1">
      <alignment horizontal="left" vertical="top" wrapText="1"/>
    </xf>
    <xf numFmtId="0" fontId="8" fillId="0" borderId="27" xfId="4" applyFont="1" applyBorder="1" applyAlignment="1">
      <alignment horizontal="center" vertical="center" wrapText="1"/>
    </xf>
    <xf numFmtId="0" fontId="8" fillId="0" borderId="73" xfId="4" applyFont="1" applyBorder="1" applyAlignment="1">
      <alignment horizontal="center" vertical="center" wrapText="1"/>
    </xf>
    <xf numFmtId="0" fontId="8" fillId="0" borderId="82" xfId="4" applyFont="1" applyBorder="1" applyAlignment="1">
      <alignment horizontal="center" vertical="center" wrapText="1"/>
    </xf>
    <xf numFmtId="0" fontId="8" fillId="0" borderId="72" xfId="4" applyFont="1" applyBorder="1" applyAlignment="1">
      <alignment horizontal="center" vertical="center" wrapText="1"/>
    </xf>
    <xf numFmtId="0" fontId="8" fillId="0" borderId="25" xfId="4" applyFont="1" applyBorder="1" applyAlignment="1">
      <alignment horizontal="center" vertical="center" wrapText="1"/>
    </xf>
    <xf numFmtId="0" fontId="10" fillId="0" borderId="36" xfId="4" quotePrefix="1" applyFont="1" applyBorder="1" applyAlignment="1">
      <alignment horizontal="left" vertical="top" wrapText="1"/>
    </xf>
    <xf numFmtId="176" fontId="10" fillId="0" borderId="66" xfId="0" quotePrefix="1" applyNumberFormat="1" applyFont="1" applyBorder="1" applyAlignment="1">
      <alignment horizontal="center" vertical="center" wrapText="1"/>
    </xf>
    <xf numFmtId="176" fontId="10" fillId="0" borderId="68" xfId="0" applyNumberFormat="1" applyFont="1" applyBorder="1" applyAlignment="1">
      <alignment horizontal="center" vertical="center" wrapText="1"/>
    </xf>
    <xf numFmtId="0" fontId="10" fillId="0" borderId="76" xfId="0" applyFont="1" applyBorder="1" applyAlignment="1">
      <alignment horizontal="left" vertical="center" wrapText="1"/>
    </xf>
    <xf numFmtId="0" fontId="0" fillId="0" borderId="76" xfId="0" applyBorder="1" applyAlignment="1">
      <alignment horizontal="left" vertical="center" wrapText="1"/>
    </xf>
    <xf numFmtId="0" fontId="0" fillId="0" borderId="77" xfId="0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3" fillId="3" borderId="47" xfId="0" applyFont="1" applyFill="1" applyBorder="1" applyAlignment="1">
      <alignment horizontal="left" vertical="center" wrapText="1"/>
    </xf>
    <xf numFmtId="0" fontId="13" fillId="3" borderId="49" xfId="0" applyFont="1" applyFill="1" applyBorder="1" applyAlignment="1">
      <alignment horizontal="left" vertical="center" wrapText="1"/>
    </xf>
    <xf numFmtId="0" fontId="13" fillId="3" borderId="48" xfId="0" applyFont="1" applyFill="1" applyBorder="1" applyAlignment="1">
      <alignment horizontal="left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8" fillId="0" borderId="81" xfId="0" applyFont="1" applyBorder="1" applyAlignment="1">
      <alignment horizontal="left" vertical="center" wrapText="1"/>
    </xf>
    <xf numFmtId="0" fontId="8" fillId="0" borderId="69" xfId="0" applyFont="1" applyBorder="1" applyAlignment="1">
      <alignment horizontal="left" vertical="center" wrapText="1"/>
    </xf>
    <xf numFmtId="0" fontId="8" fillId="0" borderId="75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10" fillId="0" borderId="39" xfId="0" quotePrefix="1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176" fontId="10" fillId="0" borderId="66" xfId="0" applyNumberFormat="1" applyFont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 wrapText="1"/>
    </xf>
    <xf numFmtId="176" fontId="10" fillId="0" borderId="11" xfId="0" applyNumberFormat="1" applyFont="1" applyBorder="1" applyAlignment="1">
      <alignment horizontal="center" vertical="center" wrapText="1"/>
    </xf>
    <xf numFmtId="176" fontId="10" fillId="0" borderId="56" xfId="0" quotePrefix="1" applyNumberFormat="1" applyFont="1" applyBorder="1" applyAlignment="1">
      <alignment horizontal="center" vertical="center" wrapText="1"/>
    </xf>
    <xf numFmtId="176" fontId="10" fillId="0" borderId="58" xfId="0" applyNumberFormat="1" applyFont="1" applyBorder="1" applyAlignment="1">
      <alignment horizontal="center" vertical="center" wrapText="1"/>
    </xf>
    <xf numFmtId="0" fontId="10" fillId="0" borderId="65" xfId="0" applyFont="1" applyBorder="1" applyAlignment="1">
      <alignment horizontal="left" vertical="center" wrapText="1"/>
    </xf>
    <xf numFmtId="0" fontId="0" fillId="0" borderId="6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13" fillId="9" borderId="80" xfId="0" applyFont="1" applyFill="1" applyBorder="1" applyAlignment="1">
      <alignment horizontal="center" vertical="center" wrapText="1"/>
    </xf>
    <xf numFmtId="0" fontId="13" fillId="9" borderId="70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71" xfId="0" applyFont="1" applyFill="1" applyBorder="1" applyAlignment="1">
      <alignment horizontal="center" vertical="center" wrapText="1"/>
    </xf>
    <xf numFmtId="0" fontId="13" fillId="9" borderId="76" xfId="0" applyFont="1" applyFill="1" applyBorder="1" applyAlignment="1">
      <alignment horizontal="center" vertical="center" wrapText="1"/>
    </xf>
    <xf numFmtId="176" fontId="13" fillId="9" borderId="76" xfId="0" applyNumberFormat="1" applyFont="1" applyFill="1" applyBorder="1" applyAlignment="1">
      <alignment horizontal="center" vertical="center" wrapText="1"/>
    </xf>
    <xf numFmtId="0" fontId="13" fillId="3" borderId="76" xfId="0" applyFont="1" applyFill="1" applyBorder="1" applyAlignment="1">
      <alignment horizontal="left" vertical="center" wrapText="1"/>
    </xf>
    <xf numFmtId="176" fontId="13" fillId="9" borderId="80" xfId="0" applyNumberFormat="1" applyFont="1" applyFill="1" applyBorder="1" applyAlignment="1">
      <alignment horizontal="left" vertical="center" wrapText="1"/>
    </xf>
    <xf numFmtId="176" fontId="13" fillId="9" borderId="70" xfId="0" applyNumberFormat="1" applyFont="1" applyFill="1" applyBorder="1" applyAlignment="1">
      <alignment horizontal="left" vertical="center" wrapText="1"/>
    </xf>
    <xf numFmtId="176" fontId="13" fillId="9" borderId="10" xfId="0" applyNumberFormat="1" applyFont="1" applyFill="1" applyBorder="1" applyAlignment="1">
      <alignment horizontal="left" vertical="center" wrapText="1"/>
    </xf>
    <xf numFmtId="176" fontId="10" fillId="0" borderId="14" xfId="0" applyNumberFormat="1" applyFont="1" applyBorder="1" applyAlignment="1">
      <alignment horizontal="center" vertical="center" wrapText="1"/>
    </xf>
    <xf numFmtId="176" fontId="10" fillId="0" borderId="15" xfId="0" applyNumberFormat="1" applyFont="1" applyBorder="1" applyAlignment="1">
      <alignment horizontal="center" vertical="center" wrapText="1"/>
    </xf>
    <xf numFmtId="176" fontId="10" fillId="0" borderId="17" xfId="0" applyNumberFormat="1" applyFont="1" applyBorder="1" applyAlignment="1">
      <alignment horizontal="center" vertical="center" wrapText="1"/>
    </xf>
    <xf numFmtId="176" fontId="10" fillId="0" borderId="20" xfId="0" applyNumberFormat="1" applyFont="1" applyBorder="1" applyAlignment="1">
      <alignment horizontal="center" vertical="center" wrapText="1"/>
    </xf>
    <xf numFmtId="176" fontId="10" fillId="0" borderId="56" xfId="0" applyNumberFormat="1" applyFont="1" applyBorder="1" applyAlignment="1">
      <alignment horizontal="center" vertical="center" wrapText="1"/>
    </xf>
    <xf numFmtId="176" fontId="10" fillId="0" borderId="16" xfId="0" applyNumberFormat="1" applyFont="1" applyBorder="1" applyAlignment="1">
      <alignment horizontal="center" vertical="center" wrapText="1"/>
    </xf>
    <xf numFmtId="176" fontId="10" fillId="0" borderId="21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6" fontId="10" fillId="0" borderId="8" xfId="0" applyNumberFormat="1" applyFont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78" xfId="0" applyBorder="1" applyAlignment="1">
      <alignment horizontal="left" vertical="center" wrapText="1"/>
    </xf>
    <xf numFmtId="0" fontId="10" fillId="0" borderId="56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58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3" fillId="3" borderId="66" xfId="0" applyFont="1" applyFill="1" applyBorder="1" applyAlignment="1">
      <alignment horizontal="left" vertical="center" wrapText="1"/>
    </xf>
    <xf numFmtId="0" fontId="13" fillId="3" borderId="67" xfId="0" applyFont="1" applyFill="1" applyBorder="1" applyAlignment="1">
      <alignment horizontal="left" vertical="center" wrapText="1"/>
    </xf>
    <xf numFmtId="0" fontId="13" fillId="3" borderId="68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3" fillId="3" borderId="4" xfId="0" quotePrefix="1" applyFont="1" applyFill="1" applyBorder="1" applyAlignment="1">
      <alignment horizontal="left" vertical="center" wrapText="1"/>
    </xf>
    <xf numFmtId="0" fontId="10" fillId="0" borderId="66" xfId="0" applyFont="1" applyBorder="1" applyAlignment="1">
      <alignment horizontal="left" vertical="center" wrapText="1"/>
    </xf>
    <xf numFmtId="0" fontId="10" fillId="0" borderId="67" xfId="0" applyFont="1" applyBorder="1" applyAlignment="1">
      <alignment horizontal="left" vertical="center" wrapText="1"/>
    </xf>
    <xf numFmtId="0" fontId="10" fillId="0" borderId="68" xfId="0" applyFont="1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0" fillId="0" borderId="67" xfId="0" applyBorder="1" applyAlignment="1">
      <alignment horizontal="left" vertical="center" wrapText="1"/>
    </xf>
    <xf numFmtId="0" fontId="0" fillId="0" borderId="79" xfId="0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176" fontId="10" fillId="0" borderId="14" xfId="0" quotePrefix="1" applyNumberFormat="1" applyFont="1" applyBorder="1" applyAlignment="1">
      <alignment horizontal="center" vertical="center" wrapText="1"/>
    </xf>
    <xf numFmtId="176" fontId="10" fillId="0" borderId="15" xfId="0" quotePrefix="1" applyNumberFormat="1" applyFont="1" applyBorder="1" applyAlignment="1">
      <alignment horizontal="center" vertical="center" wrapText="1"/>
    </xf>
    <xf numFmtId="176" fontId="10" fillId="0" borderId="17" xfId="0" quotePrefix="1" applyNumberFormat="1" applyFont="1" applyBorder="1" applyAlignment="1">
      <alignment horizontal="center" vertical="center" wrapText="1"/>
    </xf>
    <xf numFmtId="176" fontId="10" fillId="0" borderId="20" xfId="0" quotePrefix="1" applyNumberFormat="1" applyFont="1" applyBorder="1" applyAlignment="1">
      <alignment horizontal="center" vertical="center" wrapText="1"/>
    </xf>
    <xf numFmtId="176" fontId="10" fillId="0" borderId="58" xfId="0" quotePrefix="1" applyNumberFormat="1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left" vertical="center" wrapText="1"/>
    </xf>
    <xf numFmtId="0" fontId="8" fillId="2" borderId="57" xfId="4" applyFont="1" applyFill="1" applyBorder="1" applyAlignment="1">
      <alignment horizontal="center" vertical="center" wrapText="1"/>
    </xf>
    <xf numFmtId="0" fontId="8" fillId="2" borderId="51" xfId="4" applyFont="1" applyFill="1" applyBorder="1" applyAlignment="1">
      <alignment horizontal="center" vertical="center" wrapText="1"/>
    </xf>
    <xf numFmtId="0" fontId="8" fillId="2" borderId="53" xfId="4" applyFont="1" applyFill="1" applyBorder="1" applyAlignment="1">
      <alignment horizontal="center" vertical="center" wrapText="1"/>
    </xf>
    <xf numFmtId="0" fontId="8" fillId="2" borderId="52" xfId="4" applyFont="1" applyFill="1" applyBorder="1" applyAlignment="1">
      <alignment horizontal="center" vertical="center" wrapText="1"/>
    </xf>
    <xf numFmtId="0" fontId="0" fillId="2" borderId="57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 wrapText="1"/>
    </xf>
    <xf numFmtId="0" fontId="11" fillId="0" borderId="6" xfId="4" applyFont="1" applyBorder="1" applyAlignment="1">
      <alignment horizontal="center" vertical="center" wrapText="1" readingOrder="1"/>
    </xf>
    <xf numFmtId="0" fontId="16" fillId="3" borderId="3" xfId="4" applyFont="1" applyFill="1" applyBorder="1" applyAlignment="1">
      <alignment horizontal="left" vertical="center" wrapText="1" readingOrder="1"/>
    </xf>
    <xf numFmtId="0" fontId="0" fillId="0" borderId="62" xfId="0" applyBorder="1" applyAlignment="1">
      <alignment horizontal="left" vertical="top" wrapText="1"/>
    </xf>
    <xf numFmtId="0" fontId="0" fillId="0" borderId="63" xfId="0" applyBorder="1" applyAlignment="1">
      <alignment horizontal="left" vertical="top" wrapText="1"/>
    </xf>
    <xf numFmtId="0" fontId="0" fillId="0" borderId="64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11" fillId="0" borderId="3" xfId="4" applyFont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1" fillId="0" borderId="6" xfId="4" applyFont="1" applyBorder="1" applyAlignment="1">
      <alignment horizontal="left" vertical="center" wrapText="1" readingOrder="1"/>
    </xf>
    <xf numFmtId="0" fontId="16" fillId="3" borderId="59" xfId="4" applyFont="1" applyFill="1" applyBorder="1" applyAlignment="1">
      <alignment horizontal="center" vertical="center" wrapText="1" readingOrder="1"/>
    </xf>
    <xf numFmtId="0" fontId="16" fillId="3" borderId="60" xfId="4" applyFont="1" applyFill="1" applyBorder="1" applyAlignment="1">
      <alignment horizontal="center" vertical="center" wrapText="1" readingOrder="1"/>
    </xf>
    <xf numFmtId="0" fontId="16" fillId="3" borderId="61" xfId="4" applyFont="1" applyFill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1" fillId="0" borderId="3" xfId="4" applyFont="1" applyBorder="1" applyAlignment="1">
      <alignment vertical="center" wrapText="1" readingOrder="1"/>
    </xf>
    <xf numFmtId="0" fontId="16" fillId="3" borderId="4" xfId="4" applyFont="1" applyFill="1" applyBorder="1" applyAlignment="1">
      <alignment horizontal="center" vertical="center" wrapText="1" readingOrder="1"/>
    </xf>
    <xf numFmtId="0" fontId="16" fillId="3" borderId="12" xfId="4" applyFont="1" applyFill="1" applyBorder="1" applyAlignment="1">
      <alignment horizontal="center" vertical="center" wrapText="1" readingOrder="1"/>
    </xf>
    <xf numFmtId="0" fontId="16" fillId="3" borderId="11" xfId="4" applyFont="1" applyFill="1" applyBorder="1" applyAlignment="1">
      <alignment horizontal="center" vertical="center" wrapText="1" readingOrder="1"/>
    </xf>
    <xf numFmtId="0" fontId="11" fillId="0" borderId="45" xfId="4" applyFont="1" applyBorder="1" applyAlignment="1">
      <alignment horizontal="center" vertical="center" wrapText="1" readingOrder="1"/>
    </xf>
    <xf numFmtId="0" fontId="16" fillId="3" borderId="45" xfId="4" applyFont="1" applyFill="1" applyBorder="1" applyAlignment="1">
      <alignment horizontal="left" vertical="center" wrapText="1" readingOrder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28" fillId="3" borderId="59" xfId="4" quotePrefix="1" applyFont="1" applyFill="1" applyBorder="1" applyAlignment="1">
      <alignment horizontal="center" vertical="center" wrapText="1" readingOrder="1"/>
    </xf>
    <xf numFmtId="0" fontId="28" fillId="3" borderId="60" xfId="4" quotePrefix="1" applyFont="1" applyFill="1" applyBorder="1" applyAlignment="1">
      <alignment horizontal="center" vertical="center" wrapText="1" readingOrder="1"/>
    </xf>
    <xf numFmtId="0" fontId="28" fillId="3" borderId="61" xfId="4" quotePrefix="1" applyFont="1" applyFill="1" applyBorder="1" applyAlignment="1">
      <alignment horizontal="center" vertical="center" wrapText="1" readingOrder="1"/>
    </xf>
    <xf numFmtId="0" fontId="28" fillId="3" borderId="4" xfId="4" quotePrefix="1" applyFont="1" applyFill="1" applyBorder="1" applyAlignment="1">
      <alignment horizontal="center" vertical="center" wrapText="1" readingOrder="1"/>
    </xf>
    <xf numFmtId="0" fontId="28" fillId="3" borderId="12" xfId="4" quotePrefix="1" applyFont="1" applyFill="1" applyBorder="1" applyAlignment="1">
      <alignment horizontal="center" vertical="center" wrapText="1" readingOrder="1"/>
    </xf>
    <xf numFmtId="0" fontId="28" fillId="3" borderId="11" xfId="4" quotePrefix="1" applyFont="1" applyFill="1" applyBorder="1" applyAlignment="1">
      <alignment horizontal="center" vertical="center" wrapText="1" readingOrder="1"/>
    </xf>
    <xf numFmtId="0" fontId="16" fillId="3" borderId="4" xfId="4" quotePrefix="1" applyFont="1" applyFill="1" applyBorder="1" applyAlignment="1">
      <alignment horizontal="center" vertical="center" wrapText="1" readingOrder="1"/>
    </xf>
    <xf numFmtId="0" fontId="16" fillId="3" borderId="12" xfId="4" quotePrefix="1" applyFont="1" applyFill="1" applyBorder="1" applyAlignment="1">
      <alignment horizontal="center" vertical="center" wrapText="1" readingOrder="1"/>
    </xf>
    <xf numFmtId="0" fontId="16" fillId="3" borderId="11" xfId="4" quotePrefix="1" applyFont="1" applyFill="1" applyBorder="1" applyAlignment="1">
      <alignment horizontal="center" vertical="center" wrapText="1" readingOrder="1"/>
    </xf>
    <xf numFmtId="0" fontId="28" fillId="3" borderId="4" xfId="4" applyFont="1" applyFill="1" applyBorder="1" applyAlignment="1">
      <alignment horizontal="left" vertical="center" wrapText="1" readingOrder="1"/>
    </xf>
    <xf numFmtId="0" fontId="28" fillId="3" borderId="12" xfId="4" applyFont="1" applyFill="1" applyBorder="1" applyAlignment="1">
      <alignment horizontal="left" vertical="center" wrapText="1" readingOrder="1"/>
    </xf>
    <xf numFmtId="0" fontId="28" fillId="3" borderId="11" xfId="4" applyFont="1" applyFill="1" applyBorder="1" applyAlignment="1">
      <alignment horizontal="left" vertical="center" wrapText="1" readingOrder="1"/>
    </xf>
    <xf numFmtId="0" fontId="10" fillId="0" borderId="5" xfId="0" applyFont="1" applyBorder="1" applyAlignment="1">
      <alignment horizontal="left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11" fillId="0" borderId="3" xfId="4" applyFont="1" applyBorder="1" applyAlignment="1">
      <alignment horizontal="left" vertical="center" wrapText="1" readingOrder="1"/>
    </xf>
    <xf numFmtId="0" fontId="28" fillId="3" borderId="4" xfId="4" quotePrefix="1" applyFont="1" applyFill="1" applyBorder="1" applyAlignment="1">
      <alignment horizontal="left" vertical="center" wrapText="1" readingOrder="1"/>
    </xf>
    <xf numFmtId="0" fontId="16" fillId="3" borderId="4" xfId="4" applyFont="1" applyFill="1" applyBorder="1" applyAlignment="1">
      <alignment horizontal="left" vertical="center" wrapText="1" readingOrder="1"/>
    </xf>
    <xf numFmtId="0" fontId="16" fillId="3" borderId="12" xfId="4" applyFont="1" applyFill="1" applyBorder="1" applyAlignment="1">
      <alignment horizontal="left" vertical="center" wrapText="1" readingOrder="1"/>
    </xf>
    <xf numFmtId="0" fontId="16" fillId="3" borderId="11" xfId="4" applyFont="1" applyFill="1" applyBorder="1" applyAlignment="1">
      <alignment horizontal="left" vertical="center" wrapText="1" readingOrder="1"/>
    </xf>
    <xf numFmtId="0" fontId="10" fillId="0" borderId="45" xfId="0" quotePrefix="1" applyFont="1" applyBorder="1" applyAlignment="1">
      <alignment horizontal="left" vertical="center" wrapText="1"/>
    </xf>
    <xf numFmtId="0" fontId="16" fillId="3" borderId="47" xfId="4" applyFont="1" applyFill="1" applyBorder="1" applyAlignment="1">
      <alignment horizontal="center" vertical="center" wrapText="1" readingOrder="1"/>
    </xf>
    <xf numFmtId="0" fontId="16" fillId="3" borderId="49" xfId="4" applyFont="1" applyFill="1" applyBorder="1" applyAlignment="1">
      <alignment horizontal="center" vertical="center" wrapText="1" readingOrder="1"/>
    </xf>
    <xf numFmtId="0" fontId="16" fillId="3" borderId="48" xfId="4" applyFont="1" applyFill="1" applyBorder="1" applyAlignment="1">
      <alignment horizontal="center" vertical="center" wrapText="1" readingOrder="1"/>
    </xf>
    <xf numFmtId="0" fontId="10" fillId="0" borderId="46" xfId="0" applyFont="1" applyBorder="1" applyAlignment="1">
      <alignment horizontal="left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center" wrapText="1"/>
    </xf>
    <xf numFmtId="0" fontId="16" fillId="3" borderId="8" xfId="4" quotePrefix="1" applyFont="1" applyFill="1" applyBorder="1" applyAlignment="1">
      <alignment horizontal="center" vertical="center" wrapText="1" readingOrder="1"/>
    </xf>
    <xf numFmtId="0" fontId="16" fillId="3" borderId="30" xfId="4" quotePrefix="1" applyFont="1" applyFill="1" applyBorder="1" applyAlignment="1">
      <alignment horizontal="center" vertical="center" wrapText="1" readingOrder="1"/>
    </xf>
    <xf numFmtId="0" fontId="16" fillId="3" borderId="18" xfId="4" quotePrefix="1" applyFont="1" applyFill="1" applyBorder="1" applyAlignment="1">
      <alignment horizontal="center" vertical="center" wrapText="1" readingOrder="1"/>
    </xf>
    <xf numFmtId="0" fontId="16" fillId="3" borderId="47" xfId="4" applyFont="1" applyFill="1" applyBorder="1" applyAlignment="1">
      <alignment horizontal="left" vertical="center" wrapText="1" readingOrder="1"/>
    </xf>
    <xf numFmtId="0" fontId="16" fillId="3" borderId="49" xfId="4" applyFont="1" applyFill="1" applyBorder="1" applyAlignment="1">
      <alignment horizontal="left" vertical="center" wrapText="1" readingOrder="1"/>
    </xf>
    <xf numFmtId="0" fontId="16" fillId="3" borderId="48" xfId="4" applyFont="1" applyFill="1" applyBorder="1" applyAlignment="1">
      <alignment horizontal="left" vertical="center" wrapText="1" readingOrder="1"/>
    </xf>
    <xf numFmtId="0" fontId="10" fillId="0" borderId="8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6" fillId="3" borderId="6" xfId="4" applyFont="1" applyFill="1" applyBorder="1" applyAlignment="1">
      <alignment horizontal="left" vertical="center" wrapText="1" readingOrder="1"/>
    </xf>
    <xf numFmtId="0" fontId="0" fillId="0" borderId="6" xfId="0" quotePrefix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3" xfId="0" quotePrefix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176" fontId="10" fillId="0" borderId="76" xfId="0" applyNumberFormat="1" applyFont="1" applyBorder="1" applyAlignment="1">
      <alignment horizontal="center" vertical="center" wrapText="1"/>
    </xf>
    <xf numFmtId="176" fontId="10" fillId="0" borderId="45" xfId="0" quotePrefix="1" applyNumberFormat="1" applyFont="1" applyBorder="1" applyAlignment="1">
      <alignment horizontal="center" vertical="center" wrapText="1"/>
    </xf>
    <xf numFmtId="176" fontId="10" fillId="0" borderId="45" xfId="0" applyNumberFormat="1" applyFont="1" applyBorder="1" applyAlignment="1">
      <alignment horizontal="center" vertical="center" wrapText="1"/>
    </xf>
    <xf numFmtId="176" fontId="10" fillId="0" borderId="16" xfId="0" quotePrefix="1" applyNumberFormat="1" applyFont="1" applyBorder="1" applyAlignment="1">
      <alignment horizontal="center" vertical="center" wrapText="1"/>
    </xf>
    <xf numFmtId="176" fontId="10" fillId="0" borderId="21" xfId="0" quotePrefix="1" applyNumberFormat="1" applyFont="1" applyBorder="1" applyAlignment="1">
      <alignment horizontal="center" vertical="center" wrapText="1"/>
    </xf>
    <xf numFmtId="0" fontId="10" fillId="0" borderId="56" xfId="0" quotePrefix="1" applyFont="1" applyBorder="1" applyAlignment="1">
      <alignment horizontal="left" vertical="center" wrapText="1"/>
    </xf>
    <xf numFmtId="0" fontId="10" fillId="0" borderId="42" xfId="0" quotePrefix="1" applyFont="1" applyBorder="1" applyAlignment="1">
      <alignment horizontal="left" vertical="center" wrapText="1"/>
    </xf>
    <xf numFmtId="0" fontId="10" fillId="0" borderId="58" xfId="0" quotePrefix="1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13" fillId="3" borderId="30" xfId="0" applyFont="1" applyFill="1" applyBorder="1" applyAlignment="1">
      <alignment horizontal="left" vertical="center" wrapText="1"/>
    </xf>
    <xf numFmtId="0" fontId="13" fillId="3" borderId="18" xfId="0" applyFont="1" applyFill="1" applyBorder="1" applyAlignment="1">
      <alignment horizontal="left" vertical="center" wrapText="1"/>
    </xf>
    <xf numFmtId="176" fontId="10" fillId="0" borderId="3" xfId="0" applyNumberFormat="1" applyFont="1" applyBorder="1" applyAlignment="1">
      <alignment horizontal="center" vertical="center" wrapText="1"/>
    </xf>
    <xf numFmtId="176" fontId="10" fillId="0" borderId="65" xfId="0" applyNumberFormat="1" applyFont="1" applyBorder="1" applyAlignment="1">
      <alignment horizontal="center" vertical="center" wrapText="1"/>
    </xf>
    <xf numFmtId="0" fontId="10" fillId="0" borderId="16" xfId="0" quotePrefix="1" applyFont="1" applyBorder="1" applyAlignment="1">
      <alignment horizontal="center" vertical="center" wrapText="1"/>
    </xf>
    <xf numFmtId="0" fontId="10" fillId="0" borderId="56" xfId="0" applyFont="1" applyBorder="1" applyAlignment="1">
      <alignment vertical="center" wrapText="1"/>
    </xf>
    <xf numFmtId="0" fontId="10" fillId="0" borderId="42" xfId="0" applyFont="1" applyBorder="1" applyAlignment="1">
      <alignment vertical="center" wrapText="1"/>
    </xf>
    <xf numFmtId="0" fontId="10" fillId="0" borderId="58" xfId="0" applyFont="1" applyBorder="1" applyAlignment="1">
      <alignment vertical="center" wrapText="1"/>
    </xf>
    <xf numFmtId="3" fontId="16" fillId="3" borderId="3" xfId="4" applyNumberFormat="1" applyFont="1" applyFill="1" applyBorder="1" applyAlignment="1">
      <alignment horizontal="left" vertical="center" wrapText="1" readingOrder="1"/>
    </xf>
    <xf numFmtId="0" fontId="13" fillId="3" borderId="60" xfId="4" applyFont="1" applyFill="1" applyBorder="1" applyAlignment="1">
      <alignment horizontal="left" vertical="center" wrapText="1" readingOrder="1"/>
    </xf>
    <xf numFmtId="0" fontId="13" fillId="3" borderId="61" xfId="4" applyFont="1" applyFill="1" applyBorder="1" applyAlignment="1">
      <alignment horizontal="left" vertical="center" wrapText="1" readingOrder="1"/>
    </xf>
    <xf numFmtId="0" fontId="13" fillId="3" borderId="59" xfId="4" quotePrefix="1" applyFont="1" applyFill="1" applyBorder="1" applyAlignment="1">
      <alignment horizontal="left" vertical="center" wrapText="1" readingOrder="1"/>
    </xf>
    <xf numFmtId="0" fontId="13" fillId="3" borderId="12" xfId="4" applyFont="1" applyFill="1" applyBorder="1" applyAlignment="1">
      <alignment horizontal="left" vertical="center" wrapText="1" readingOrder="1"/>
    </xf>
    <xf numFmtId="0" fontId="13" fillId="3" borderId="11" xfId="4" applyFont="1" applyFill="1" applyBorder="1" applyAlignment="1">
      <alignment horizontal="left" vertical="center" wrapText="1" readingOrder="1"/>
    </xf>
    <xf numFmtId="0" fontId="13" fillId="3" borderId="4" xfId="4" quotePrefix="1" applyFont="1" applyFill="1" applyBorder="1" applyAlignment="1">
      <alignment horizontal="left" vertical="center" wrapText="1" readingOrder="1"/>
    </xf>
    <xf numFmtId="0" fontId="10" fillId="0" borderId="69" xfId="0" applyFont="1" applyBorder="1" applyAlignment="1">
      <alignment horizontal="center" vertical="center" wrapText="1"/>
    </xf>
    <xf numFmtId="0" fontId="10" fillId="0" borderId="68" xfId="0" quotePrefix="1" applyFont="1" applyBorder="1" applyAlignment="1">
      <alignment horizontal="center" vertical="center" wrapText="1"/>
    </xf>
    <xf numFmtId="0" fontId="10" fillId="0" borderId="65" xfId="0" quotePrefix="1" applyFont="1" applyBorder="1" applyAlignment="1">
      <alignment horizontal="center" vertical="center" wrapText="1"/>
    </xf>
    <xf numFmtId="0" fontId="10" fillId="0" borderId="12" xfId="0" quotePrefix="1" applyFont="1" applyBorder="1" applyAlignment="1">
      <alignment horizontal="center" vertical="center" wrapText="1"/>
    </xf>
    <xf numFmtId="0" fontId="10" fillId="0" borderId="11" xfId="0" quotePrefix="1" applyFont="1" applyBorder="1" applyAlignment="1">
      <alignment horizontal="center" vertical="center" wrapText="1"/>
    </xf>
    <xf numFmtId="0" fontId="10" fillId="0" borderId="4" xfId="0" quotePrefix="1" applyFont="1" applyBorder="1" applyAlignment="1">
      <alignment horizontal="center" vertical="center" wrapText="1"/>
    </xf>
    <xf numFmtId="0" fontId="10" fillId="0" borderId="17" xfId="0" quotePrefix="1" applyFont="1" applyBorder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10" fillId="0" borderId="20" xfId="0" quotePrefix="1" applyFont="1" applyBorder="1" applyAlignment="1">
      <alignment horizontal="center" vertical="center" wrapText="1"/>
    </xf>
    <xf numFmtId="0" fontId="10" fillId="0" borderId="56" xfId="0" quotePrefix="1" applyFont="1" applyBorder="1" applyAlignment="1">
      <alignment horizontal="center" vertical="center" wrapText="1"/>
    </xf>
    <xf numFmtId="0" fontId="10" fillId="0" borderId="42" xfId="0" quotePrefix="1" applyFont="1" applyBorder="1" applyAlignment="1">
      <alignment horizontal="center" vertical="center" wrapText="1"/>
    </xf>
    <xf numFmtId="0" fontId="10" fillId="0" borderId="58" xfId="0" quotePrefix="1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3" fillId="3" borderId="56" xfId="0" quotePrefix="1" applyFont="1" applyFill="1" applyBorder="1" applyAlignment="1">
      <alignment horizontal="left" vertical="center" wrapText="1"/>
    </xf>
    <xf numFmtId="0" fontId="13" fillId="3" borderId="42" xfId="0" applyFont="1" applyFill="1" applyBorder="1" applyAlignment="1">
      <alignment horizontal="left" vertical="center" wrapText="1"/>
    </xf>
    <xf numFmtId="0" fontId="13" fillId="3" borderId="58" xfId="0" applyFont="1" applyFill="1" applyBorder="1" applyAlignment="1">
      <alignment horizontal="left" vertical="center" wrapText="1"/>
    </xf>
    <xf numFmtId="0" fontId="13" fillId="3" borderId="16" xfId="0" quotePrefix="1" applyFont="1" applyFill="1" applyBorder="1" applyAlignment="1">
      <alignment horizontal="left" vertical="center" wrapText="1"/>
    </xf>
    <xf numFmtId="0" fontId="13" fillId="3" borderId="55" xfId="0" quotePrefix="1" applyFont="1" applyFill="1" applyBorder="1" applyAlignment="1">
      <alignment horizontal="left" vertical="center" wrapText="1"/>
    </xf>
    <xf numFmtId="0" fontId="13" fillId="3" borderId="21" xfId="0" quotePrefix="1" applyFont="1" applyFill="1" applyBorder="1" applyAlignment="1">
      <alignment horizontal="left" vertical="center" wrapText="1"/>
    </xf>
    <xf numFmtId="0" fontId="13" fillId="3" borderId="12" xfId="0" quotePrefix="1" applyFont="1" applyFill="1" applyBorder="1" applyAlignment="1">
      <alignment horizontal="left" vertical="center" wrapText="1"/>
    </xf>
    <xf numFmtId="0" fontId="13" fillId="3" borderId="11" xfId="0" quotePrefix="1" applyFont="1" applyFill="1" applyBorder="1" applyAlignment="1">
      <alignment horizontal="left" vertical="center" wrapText="1"/>
    </xf>
    <xf numFmtId="0" fontId="13" fillId="3" borderId="3" xfId="0" quotePrefix="1" applyFont="1" applyFill="1" applyBorder="1" applyAlignment="1">
      <alignment horizontal="left" vertical="center" wrapText="1"/>
    </xf>
    <xf numFmtId="0" fontId="13" fillId="3" borderId="42" xfId="0" quotePrefix="1" applyFont="1" applyFill="1" applyBorder="1" applyAlignment="1">
      <alignment horizontal="left" vertical="center" wrapText="1"/>
    </xf>
    <xf numFmtId="0" fontId="13" fillId="3" borderId="58" xfId="0" quotePrefix="1" applyFont="1" applyFill="1" applyBorder="1" applyAlignment="1">
      <alignment horizontal="left" vertical="center" wrapText="1"/>
    </xf>
    <xf numFmtId="0" fontId="13" fillId="3" borderId="47" xfId="0" quotePrefix="1" applyFont="1" applyFill="1" applyBorder="1" applyAlignment="1">
      <alignment horizontal="left" vertical="center" wrapText="1"/>
    </xf>
    <xf numFmtId="0" fontId="13" fillId="3" borderId="66" xfId="0" quotePrefix="1" applyFont="1" applyFill="1" applyBorder="1" applyAlignment="1">
      <alignment horizontal="left" vertical="center" wrapText="1"/>
    </xf>
  </cellXfs>
  <cellStyles count="9">
    <cellStyle name="표준" xfId="0" builtinId="0"/>
    <cellStyle name="표준 2" xfId="4" xr:uid="{00000000-0005-0000-0000-000001000000}"/>
    <cellStyle name="표준 3" xfId="1" xr:uid="{00000000-0005-0000-0000-000002000000}"/>
    <cellStyle name="표준 3 6" xfId="3" xr:uid="{00000000-0005-0000-0000-000003000000}"/>
    <cellStyle name="표준 4" xfId="2" xr:uid="{00000000-0005-0000-0000-000004000000}"/>
    <cellStyle name="표준 5" xfId="7" xr:uid="{00000000-0005-0000-0000-000005000000}"/>
    <cellStyle name="표준 6 3" xfId="6" xr:uid="{00000000-0005-0000-0000-000006000000}"/>
    <cellStyle name="표준 7 5" xfId="8" xr:uid="{1AFBB2C3-D427-404E-A3EB-9733B113BE17}"/>
    <cellStyle name="표준 8" xfId="5" xr:uid="{00000000-0005-0000-0000-000007000000}"/>
  </cellStyles>
  <dxfs count="0"/>
  <tableStyles count="0" defaultTableStyle="TableStyleMedium2" defaultPivotStyle="PivotStyleLight16"/>
  <colors>
    <mruColors>
      <color rgb="FF0000FF"/>
      <color rgb="FFFFFF00"/>
      <color rgb="FFFFFF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</xdr:colOff>
      <xdr:row>2</xdr:row>
      <xdr:rowOff>228040</xdr:rowOff>
    </xdr:from>
    <xdr:to>
      <xdr:col>11</xdr:col>
      <xdr:colOff>952500</xdr:colOff>
      <xdr:row>2</xdr:row>
      <xdr:rowOff>228040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CAB9BAE3-05DD-47E7-9E28-E69374774597}"/>
            </a:ext>
          </a:extLst>
        </xdr:cNvPr>
        <xdr:cNvCxnSpPr/>
      </xdr:nvCxnSpPr>
      <xdr:spPr>
        <a:xfrm>
          <a:off x="4445" y="675715"/>
          <a:ext cx="104159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4" name="그림 3" descr="바닥라인">
          <a:extLst>
            <a:ext uri="{FF2B5EF4-FFF2-40B4-BE49-F238E27FC236}">
              <a16:creationId xmlns:a16="http://schemas.microsoft.com/office/drawing/2014/main" id="{55013C10-1EFA-4018-8BFF-EEFA2F683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73446"/>
          <a:ext cx="101060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419100</xdr:colOff>
      <xdr:row>15</xdr:row>
      <xdr:rowOff>447675</xdr:rowOff>
    </xdr:from>
    <xdr:to>
      <xdr:col>11</xdr:col>
      <xdr:colOff>654571</xdr:colOff>
      <xdr:row>15</xdr:row>
      <xdr:rowOff>668979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271D513-84C8-409F-8C12-0ED9167D4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6375" y="7296150"/>
          <a:ext cx="1026046" cy="221304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19050</xdr:rowOff>
    </xdr:from>
    <xdr:to>
      <xdr:col>2</xdr:col>
      <xdr:colOff>619125</xdr:colOff>
      <xdr:row>15</xdr:row>
      <xdr:rowOff>323850</xdr:rowOff>
    </xdr:to>
    <xdr:sp macro="" textlink="">
      <xdr:nvSpPr>
        <xdr:cNvPr id="6" name="Rectangle 4195">
          <a:extLst>
            <a:ext uri="{FF2B5EF4-FFF2-40B4-BE49-F238E27FC236}">
              <a16:creationId xmlns:a16="http://schemas.microsoft.com/office/drawing/2014/main" id="{3F9B10C6-F67A-48BA-9F30-7E876B351421}"/>
            </a:ext>
          </a:extLst>
        </xdr:cNvPr>
        <xdr:cNvSpPr>
          <a:spLocks noChangeArrowheads="1"/>
        </xdr:cNvSpPr>
      </xdr:nvSpPr>
      <xdr:spPr bwMode="auto">
        <a:xfrm>
          <a:off x="19050" y="19050"/>
          <a:ext cx="2000250" cy="7153275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COVI-PM7-2018-01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작성일자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2026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02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월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13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일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작성부서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기업영업본부</a:t>
          </a: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작성자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김경호</a:t>
          </a:r>
          <a:endParaRPr lang="en-US" altLang="ko-KR" sz="1000" b="0" i="0" u="none" strike="noStrike" baseline="0">
            <a:solidFill>
              <a:srgbClr val="000000"/>
            </a:solidFill>
            <a:latin typeface="맑은 고딕"/>
            <a:ea typeface="맑은 고딕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  <xdr:twoCellAnchor editAs="oneCell">
    <xdr:from>
      <xdr:col>3</xdr:col>
      <xdr:colOff>0</xdr:colOff>
      <xdr:row>0</xdr:row>
      <xdr:rowOff>95250</xdr:rowOff>
    </xdr:from>
    <xdr:to>
      <xdr:col>4</xdr:col>
      <xdr:colOff>256615</xdr:colOff>
      <xdr:row>2</xdr:row>
      <xdr:rowOff>189940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80E1A3C-A34C-4A6D-B4D1-9667773B03A1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925" y="95250"/>
          <a:ext cx="942415" cy="542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32</xdr:row>
      <xdr:rowOff>114300</xdr:rowOff>
    </xdr:from>
    <xdr:to>
      <xdr:col>11</xdr:col>
      <xdr:colOff>671793</xdr:colOff>
      <xdr:row>32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C1F42C78-13A2-4FA6-BF85-D0E24ED5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019925"/>
          <a:ext cx="101060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28</xdr:row>
      <xdr:rowOff>78441</xdr:rowOff>
    </xdr:from>
    <xdr:ext cx="9950824" cy="8240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0D74F5-9CF9-4DE9-9381-5066E395544A}"/>
            </a:ext>
          </a:extLst>
        </xdr:cNvPr>
        <xdr:cNvSpPr txBox="1"/>
      </xdr:nvSpPr>
      <xdr:spPr>
        <a:xfrm>
          <a:off x="67238" y="6145866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428625</xdr:colOff>
      <xdr:row>33</xdr:row>
      <xdr:rowOff>57150</xdr:rowOff>
    </xdr:from>
    <xdr:to>
      <xdr:col>11</xdr:col>
      <xdr:colOff>664096</xdr:colOff>
      <xdr:row>33</xdr:row>
      <xdr:rowOff>278454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9CD170-E546-4317-981B-CA090313A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5900" y="7172325"/>
          <a:ext cx="1026046" cy="2213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19050</xdr:rowOff>
    </xdr:from>
    <xdr:to>
      <xdr:col>4</xdr:col>
      <xdr:colOff>0</xdr:colOff>
      <xdr:row>11</xdr:row>
      <xdr:rowOff>571500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45DD4B-1FE0-47C4-B700-CAE8DF20723A}"/>
            </a:ext>
          </a:extLst>
        </xdr:cNvPr>
        <xdr:cNvSpPr txBox="1"/>
      </xdr:nvSpPr>
      <xdr:spPr>
        <a:xfrm>
          <a:off x="4333875" y="3990975"/>
          <a:ext cx="3019425" cy="5524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5. </a:t>
          </a:r>
          <a:r>
            <a:rPr lang="ko-KR" altLang="en-US" sz="1100" b="1"/>
            <a:t>인력투입</a:t>
          </a:r>
          <a:endParaRPr lang="en-US" altLang="ko-KR" sz="1100" b="1"/>
        </a:p>
      </xdr:txBody>
    </xdr:sp>
    <xdr:clientData/>
  </xdr:twoCellAnchor>
  <xdr:twoCellAnchor>
    <xdr:from>
      <xdr:col>2</xdr:col>
      <xdr:colOff>13938</xdr:colOff>
      <xdr:row>3</xdr:row>
      <xdr:rowOff>104775</xdr:rowOff>
    </xdr:from>
    <xdr:to>
      <xdr:col>2</xdr:col>
      <xdr:colOff>3010829</xdr:colOff>
      <xdr:row>5</xdr:row>
      <xdr:rowOff>371707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A37DFC-EFB3-4C03-AB20-8632EF3AAD3F}"/>
            </a:ext>
          </a:extLst>
        </xdr:cNvPr>
        <xdr:cNvSpPr txBox="1"/>
      </xdr:nvSpPr>
      <xdr:spPr>
        <a:xfrm>
          <a:off x="1328388" y="1076325"/>
          <a:ext cx="2996891" cy="96225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1. </a:t>
          </a:r>
          <a:r>
            <a:rPr lang="ko-KR" altLang="en-US" sz="1100" b="1"/>
            <a:t>인수인계 요청 메일 및 인수인계 일시 확정</a:t>
          </a:r>
          <a:endParaRPr lang="en-US" altLang="ko-KR" sz="1100" b="1"/>
        </a:p>
        <a:p>
          <a:pPr algn="ctr"/>
          <a:r>
            <a:rPr lang="en-US" altLang="ko-KR" sz="1100" b="0"/>
            <a:t>(</a:t>
          </a:r>
          <a:r>
            <a:rPr lang="ko-KR" altLang="en-US" sz="1100" b="0"/>
            <a:t>인력</a:t>
          </a:r>
          <a:r>
            <a:rPr lang="en-US" altLang="ko-KR" sz="1100" b="0" baseline="0"/>
            <a:t> </a:t>
          </a:r>
          <a:r>
            <a:rPr lang="ko-KR" altLang="en-US" sz="1100" b="0"/>
            <a:t>투입 최소 </a:t>
          </a:r>
          <a:r>
            <a:rPr lang="en-US" altLang="ko-KR" sz="1100" b="0"/>
            <a:t>5</a:t>
          </a:r>
          <a:r>
            <a:rPr lang="ko-KR" altLang="en-US" sz="1100" b="0"/>
            <a:t>영업일</a:t>
          </a:r>
          <a:r>
            <a:rPr lang="ko-KR" altLang="en-US" sz="1100" b="0" baseline="0"/>
            <a:t> 이전</a:t>
          </a:r>
          <a:r>
            <a:rPr lang="ko-KR" altLang="en-US" sz="1100" b="0"/>
            <a:t> 인수인계 수행</a:t>
          </a:r>
          <a:r>
            <a:rPr lang="en-US" altLang="ko-KR" sz="1100" b="0"/>
            <a:t>)</a:t>
          </a:r>
        </a:p>
      </xdr:txBody>
    </xdr:sp>
    <xdr:clientData/>
  </xdr:twoCellAnchor>
  <xdr:twoCellAnchor>
    <xdr:from>
      <xdr:col>3</xdr:col>
      <xdr:colOff>13938</xdr:colOff>
      <xdr:row>6</xdr:row>
      <xdr:rowOff>0</xdr:rowOff>
    </xdr:from>
    <xdr:to>
      <xdr:col>3</xdr:col>
      <xdr:colOff>3010829</xdr:colOff>
      <xdr:row>7</xdr:row>
      <xdr:rowOff>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6ADEED-D69D-413E-9A76-57514D3CD913}"/>
            </a:ext>
          </a:extLst>
        </xdr:cNvPr>
        <xdr:cNvSpPr txBox="1"/>
      </xdr:nvSpPr>
      <xdr:spPr>
        <a:xfrm>
          <a:off x="4347813" y="2533650"/>
          <a:ext cx="2996891" cy="54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2. </a:t>
          </a:r>
          <a:r>
            <a:rPr lang="ko-KR" altLang="en-US" sz="1100" b="1"/>
            <a:t>수신자료 열람 </a:t>
          </a:r>
          <a:endParaRPr lang="en-US" altLang="ko-KR" sz="1100" b="1"/>
        </a:p>
      </xdr:txBody>
    </xdr:sp>
    <xdr:clientData/>
  </xdr:twoCellAnchor>
  <xdr:twoCellAnchor>
    <xdr:from>
      <xdr:col>2</xdr:col>
      <xdr:colOff>3010829</xdr:colOff>
      <xdr:row>4</xdr:row>
      <xdr:rowOff>271579</xdr:rowOff>
    </xdr:from>
    <xdr:to>
      <xdr:col>3</xdr:col>
      <xdr:colOff>1512384</xdr:colOff>
      <xdr:row>6</xdr:row>
      <xdr:rowOff>0</xdr:rowOff>
    </xdr:to>
    <xdr:cxnSp macro="">
      <xdr:nvCxnSpPr>
        <xdr:cNvPr id="6" name="연결선: 꺾임 5">
          <a:extLst>
            <a:ext uri="{FF2B5EF4-FFF2-40B4-BE49-F238E27FC236}">
              <a16:creationId xmlns:a16="http://schemas.microsoft.com/office/drawing/2014/main" id="{953C788F-0D58-4EB9-9047-C25F6BE608FE}"/>
            </a:ext>
          </a:extLst>
        </xdr:cNvPr>
        <xdr:cNvCxnSpPr>
          <a:stCxn id="3" idx="3"/>
          <a:endCxn id="5" idx="0"/>
        </xdr:cNvCxnSpPr>
      </xdr:nvCxnSpPr>
      <xdr:spPr>
        <a:xfrm>
          <a:off x="4325279" y="1557454"/>
          <a:ext cx="1520980" cy="490421"/>
        </a:xfrm>
        <a:prstGeom prst="bentConnector2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13938</xdr:colOff>
      <xdr:row>7</xdr:row>
      <xdr:rowOff>5656</xdr:rowOff>
    </xdr:from>
    <xdr:to>
      <xdr:col>2</xdr:col>
      <xdr:colOff>3010829</xdr:colOff>
      <xdr:row>7</xdr:row>
      <xdr:rowOff>612913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0B7C3A-5915-47BD-A8D3-F5D29818D3C0}"/>
            </a:ext>
          </a:extLst>
        </xdr:cNvPr>
        <xdr:cNvSpPr txBox="1"/>
      </xdr:nvSpPr>
      <xdr:spPr>
        <a:xfrm>
          <a:off x="1328388" y="3082231"/>
          <a:ext cx="2996891" cy="37865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3. </a:t>
          </a:r>
          <a:r>
            <a:rPr lang="ko-KR" altLang="en-US" sz="1100" b="1"/>
            <a:t>인수인계실시</a:t>
          </a:r>
          <a:endParaRPr lang="en-US" altLang="ko-KR" sz="1100" b="0"/>
        </a:p>
      </xdr:txBody>
    </xdr:sp>
    <xdr:clientData/>
  </xdr:twoCellAnchor>
  <xdr:twoCellAnchor>
    <xdr:from>
      <xdr:col>2</xdr:col>
      <xdr:colOff>3010829</xdr:colOff>
      <xdr:row>7</xdr:row>
      <xdr:rowOff>2</xdr:rowOff>
    </xdr:from>
    <xdr:to>
      <xdr:col>3</xdr:col>
      <xdr:colOff>1512384</xdr:colOff>
      <xdr:row>7</xdr:row>
      <xdr:rowOff>194986</xdr:rowOff>
    </xdr:to>
    <xdr:cxnSp macro="">
      <xdr:nvCxnSpPr>
        <xdr:cNvPr id="8" name="연결선: 꺾임 7">
          <a:extLst>
            <a:ext uri="{FF2B5EF4-FFF2-40B4-BE49-F238E27FC236}">
              <a16:creationId xmlns:a16="http://schemas.microsoft.com/office/drawing/2014/main" id="{3B0E4D4A-F5BC-4D20-A0C9-E082FB5AE566}"/>
            </a:ext>
          </a:extLst>
        </xdr:cNvPr>
        <xdr:cNvCxnSpPr>
          <a:stCxn id="5" idx="2"/>
          <a:endCxn id="7" idx="3"/>
        </xdr:cNvCxnSpPr>
      </xdr:nvCxnSpPr>
      <xdr:spPr>
        <a:xfrm rot="5400000">
          <a:off x="4988277" y="2413579"/>
          <a:ext cx="194984" cy="1520980"/>
        </a:xfrm>
        <a:prstGeom prst="bentConnector2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5656</xdr:colOff>
      <xdr:row>9</xdr:row>
      <xdr:rowOff>8282</xdr:rowOff>
    </xdr:from>
    <xdr:to>
      <xdr:col>4</xdr:col>
      <xdr:colOff>0</xdr:colOff>
      <xdr:row>9</xdr:row>
      <xdr:rowOff>1391479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AD96633-A6CA-4F6B-96BC-CC453CBB62F2}"/>
            </a:ext>
          </a:extLst>
        </xdr:cNvPr>
        <xdr:cNvSpPr txBox="1"/>
      </xdr:nvSpPr>
      <xdr:spPr>
        <a:xfrm>
          <a:off x="4339531" y="3646832"/>
          <a:ext cx="3013769" cy="4783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4. "</a:t>
          </a:r>
          <a:r>
            <a:rPr lang="ko-KR" altLang="en-US" sz="1100" b="1"/>
            <a:t>도출 리스크</a:t>
          </a:r>
          <a:r>
            <a:rPr lang="en-US" altLang="ko-KR" sz="1100" b="1"/>
            <a:t>/</a:t>
          </a:r>
          <a:r>
            <a:rPr lang="ko-KR" altLang="en-US" sz="1100" b="1"/>
            <a:t>이슈</a:t>
          </a:r>
          <a:r>
            <a:rPr lang="en-US" altLang="ko-KR" sz="1100" b="1"/>
            <a:t>" </a:t>
          </a:r>
          <a:r>
            <a:rPr lang="ko-KR" altLang="en-US" sz="1100" b="1"/>
            <a:t>항목 기재</a:t>
          </a:r>
          <a:r>
            <a:rPr lang="en-US" altLang="ko-KR" sz="1100" b="1"/>
            <a:t>(PM)</a:t>
          </a:r>
        </a:p>
      </xdr:txBody>
    </xdr:sp>
    <xdr:clientData/>
  </xdr:twoCellAnchor>
  <xdr:twoCellAnchor>
    <xdr:from>
      <xdr:col>2</xdr:col>
      <xdr:colOff>1512384</xdr:colOff>
      <xdr:row>8</xdr:row>
      <xdr:rowOff>3313</xdr:rowOff>
    </xdr:from>
    <xdr:to>
      <xdr:col>3</xdr:col>
      <xdr:colOff>5656</xdr:colOff>
      <xdr:row>9</xdr:row>
      <xdr:rowOff>247443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C1B9ADE5-234B-47D7-9105-2E7D639DAC72}"/>
            </a:ext>
          </a:extLst>
        </xdr:cNvPr>
        <xdr:cNvCxnSpPr>
          <a:stCxn id="7" idx="2"/>
          <a:endCxn id="9" idx="1"/>
        </xdr:cNvCxnSpPr>
      </xdr:nvCxnSpPr>
      <xdr:spPr>
        <a:xfrm rot="16200000" flipH="1">
          <a:off x="3370630" y="2917092"/>
          <a:ext cx="425105" cy="1512697"/>
        </a:xfrm>
        <a:prstGeom prst="bentConnector2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13938</xdr:colOff>
      <xdr:row>13</xdr:row>
      <xdr:rowOff>13940</xdr:rowOff>
    </xdr:from>
    <xdr:to>
      <xdr:col>2</xdr:col>
      <xdr:colOff>3010829</xdr:colOff>
      <xdr:row>14</xdr:row>
      <xdr:rowOff>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81AF0C-5F68-45B7-BBDE-688A3D749365}"/>
            </a:ext>
          </a:extLst>
        </xdr:cNvPr>
        <xdr:cNvSpPr txBox="1"/>
      </xdr:nvSpPr>
      <xdr:spPr>
        <a:xfrm>
          <a:off x="1328388" y="4138265"/>
          <a:ext cx="2996891" cy="36706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6. </a:t>
          </a:r>
          <a:r>
            <a:rPr lang="ko-KR" altLang="en-US" sz="1100" b="1"/>
            <a:t>수주보고</a:t>
          </a:r>
          <a:r>
            <a:rPr lang="en-US" altLang="ko-KR" sz="1100" b="1"/>
            <a:t>(</a:t>
          </a:r>
          <a:r>
            <a:rPr lang="ko-KR" altLang="en-US" sz="1100" b="1"/>
            <a:t>수주보고시 인수인계서 유첨</a:t>
          </a:r>
          <a:r>
            <a:rPr lang="en-US" altLang="ko-KR" sz="1100" b="1"/>
            <a:t>)</a:t>
          </a:r>
          <a:endParaRPr lang="en-US" altLang="ko-KR" sz="1100" b="0"/>
        </a:p>
      </xdr:txBody>
    </xdr:sp>
    <xdr:clientData/>
  </xdr:twoCellAnchor>
  <xdr:twoCellAnchor>
    <xdr:from>
      <xdr:col>2</xdr:col>
      <xdr:colOff>3010829</xdr:colOff>
      <xdr:row>11</xdr:row>
      <xdr:rowOff>571501</xdr:rowOff>
    </xdr:from>
    <xdr:to>
      <xdr:col>3</xdr:col>
      <xdr:colOff>1509713</xdr:colOff>
      <xdr:row>13</xdr:row>
      <xdr:rowOff>268909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F9BE39C2-95B0-4B7B-8F87-9C467F932174}"/>
            </a:ext>
          </a:extLst>
        </xdr:cNvPr>
        <xdr:cNvCxnSpPr>
          <a:stCxn id="2" idx="2"/>
          <a:endCxn id="11" idx="3"/>
        </xdr:cNvCxnSpPr>
      </xdr:nvCxnSpPr>
      <xdr:spPr>
        <a:xfrm rot="5400000">
          <a:off x="4692805" y="4175900"/>
          <a:ext cx="783258" cy="1518309"/>
        </a:xfrm>
        <a:prstGeom prst="bentConnector2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5656</xdr:colOff>
      <xdr:row>14</xdr:row>
      <xdr:rowOff>0</xdr:rowOff>
    </xdr:from>
    <xdr:to>
      <xdr:col>4</xdr:col>
      <xdr:colOff>0</xdr:colOff>
      <xdr:row>15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4939284-0852-4D16-AC42-FE1AE2EB52FC}"/>
            </a:ext>
          </a:extLst>
        </xdr:cNvPr>
        <xdr:cNvSpPr txBox="1"/>
      </xdr:nvSpPr>
      <xdr:spPr>
        <a:xfrm>
          <a:off x="4339531" y="4505325"/>
          <a:ext cx="3013769" cy="381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7. PM, </a:t>
          </a:r>
          <a:r>
            <a:rPr lang="ko-KR" altLang="en-US" sz="1100" b="1"/>
            <a:t>유관팀장 수주보고 합의</a:t>
          </a:r>
          <a:r>
            <a:rPr lang="en-US" altLang="ko-KR" sz="1100" b="1"/>
            <a:t>/</a:t>
          </a:r>
          <a:r>
            <a:rPr lang="ko-KR" altLang="en-US" sz="1100" b="1"/>
            <a:t>거부</a:t>
          </a:r>
          <a:endParaRPr lang="en-US" altLang="ko-KR" sz="1100" b="0"/>
        </a:p>
      </xdr:txBody>
    </xdr:sp>
    <xdr:clientData/>
  </xdr:twoCellAnchor>
  <xdr:twoCellAnchor>
    <xdr:from>
      <xdr:col>2</xdr:col>
      <xdr:colOff>1512385</xdr:colOff>
      <xdr:row>14</xdr:row>
      <xdr:rowOff>0</xdr:rowOff>
    </xdr:from>
    <xdr:to>
      <xdr:col>3</xdr:col>
      <xdr:colOff>5657</xdr:colOff>
      <xdr:row>14</xdr:row>
      <xdr:rowOff>190499</xdr:rowOff>
    </xdr:to>
    <xdr:cxnSp macro="">
      <xdr:nvCxnSpPr>
        <xdr:cNvPr id="14" name="연결선: 꺾임 13">
          <a:extLst>
            <a:ext uri="{FF2B5EF4-FFF2-40B4-BE49-F238E27FC236}">
              <a16:creationId xmlns:a16="http://schemas.microsoft.com/office/drawing/2014/main" id="{CE7D384E-9AED-4ABB-AAAE-ADECFFF76BA0}"/>
            </a:ext>
          </a:extLst>
        </xdr:cNvPr>
        <xdr:cNvCxnSpPr>
          <a:stCxn id="11" idx="2"/>
          <a:endCxn id="13" idx="1"/>
        </xdr:cNvCxnSpPr>
      </xdr:nvCxnSpPr>
      <xdr:spPr>
        <a:xfrm rot="16200000" flipH="1">
          <a:off x="3487934" y="3844226"/>
          <a:ext cx="190499" cy="1512697"/>
        </a:xfrm>
        <a:prstGeom prst="bentConnector2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5656</xdr:colOff>
      <xdr:row>16</xdr:row>
      <xdr:rowOff>1</xdr:rowOff>
    </xdr:from>
    <xdr:to>
      <xdr:col>4</xdr:col>
      <xdr:colOff>0</xdr:colOff>
      <xdr:row>17</xdr:row>
      <xdr:rowOff>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FECB4CB-64DE-4B1C-9B3A-E758EA052018}"/>
            </a:ext>
          </a:extLst>
        </xdr:cNvPr>
        <xdr:cNvSpPr txBox="1"/>
      </xdr:nvSpPr>
      <xdr:spPr>
        <a:xfrm>
          <a:off x="4339531" y="5200651"/>
          <a:ext cx="3013769" cy="381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8. </a:t>
          </a:r>
          <a:r>
            <a:rPr lang="ko-KR" altLang="en-US" sz="1100" b="1"/>
            <a:t>프로젝트 주간보고에 리스크 등록</a:t>
          </a:r>
          <a:r>
            <a:rPr lang="en-US" altLang="ko-KR" sz="1100" b="1"/>
            <a:t>(PM)</a:t>
          </a:r>
          <a:endParaRPr lang="en-US" altLang="ko-KR" sz="1100" b="0"/>
        </a:p>
      </xdr:txBody>
    </xdr:sp>
    <xdr:clientData/>
  </xdr:twoCellAnchor>
  <xdr:twoCellAnchor>
    <xdr:from>
      <xdr:col>3</xdr:col>
      <xdr:colOff>5656</xdr:colOff>
      <xdr:row>18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1AD033E-EDF8-4812-BFCD-81D0E70FE2CC}"/>
            </a:ext>
          </a:extLst>
        </xdr:cNvPr>
        <xdr:cNvSpPr txBox="1"/>
      </xdr:nvSpPr>
      <xdr:spPr>
        <a:xfrm>
          <a:off x="4339531" y="5915025"/>
          <a:ext cx="3013769" cy="381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/>
            <a:t>9. </a:t>
          </a:r>
          <a:r>
            <a:rPr lang="ko-KR" altLang="en-US" sz="1100" b="1"/>
            <a:t>집행계획때 영업인수인계 재첨부</a:t>
          </a:r>
          <a:r>
            <a:rPr lang="en-US" altLang="ko-KR" sz="1100" b="1"/>
            <a:t>(PM)</a:t>
          </a:r>
          <a:endParaRPr lang="en-US" altLang="ko-KR" sz="1100" b="0"/>
        </a:p>
      </xdr:txBody>
    </xdr:sp>
    <xdr:clientData/>
  </xdr:twoCellAnchor>
  <xdr:twoCellAnchor>
    <xdr:from>
      <xdr:col>3</xdr:col>
      <xdr:colOff>1514404</xdr:colOff>
      <xdr:row>15</xdr:row>
      <xdr:rowOff>0</xdr:rowOff>
    </xdr:from>
    <xdr:to>
      <xdr:col>3</xdr:col>
      <xdr:colOff>1514404</xdr:colOff>
      <xdr:row>16</xdr:row>
      <xdr:rowOff>1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40D0876C-D9BA-4354-8B36-EC38B6123583}"/>
            </a:ext>
          </a:extLst>
        </xdr:cNvPr>
        <xdr:cNvCxnSpPr>
          <a:stCxn id="13" idx="2"/>
          <a:endCxn id="15" idx="0"/>
        </xdr:cNvCxnSpPr>
      </xdr:nvCxnSpPr>
      <xdr:spPr>
        <a:xfrm>
          <a:off x="5848279" y="4886325"/>
          <a:ext cx="0" cy="314326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1514404</xdr:colOff>
      <xdr:row>17</xdr:row>
      <xdr:rowOff>1</xdr:rowOff>
    </xdr:from>
    <xdr:to>
      <xdr:col>3</xdr:col>
      <xdr:colOff>1514404</xdr:colOff>
      <xdr:row>18</xdr:row>
      <xdr:rowOff>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456ABDB8-5536-49E5-9601-F8B04F33C0EB}"/>
            </a:ext>
          </a:extLst>
        </xdr:cNvPr>
        <xdr:cNvCxnSpPr>
          <a:stCxn id="15" idx="2"/>
          <a:endCxn id="16" idx="0"/>
        </xdr:cNvCxnSpPr>
      </xdr:nvCxnSpPr>
      <xdr:spPr>
        <a:xfrm>
          <a:off x="5848279" y="5581651"/>
          <a:ext cx="0" cy="333374"/>
        </a:xfrm>
        <a:prstGeom prst="straightConnector1">
          <a:avLst/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1509713</xdr:colOff>
      <xdr:row>10</xdr:row>
      <xdr:rowOff>829</xdr:rowOff>
    </xdr:from>
    <xdr:to>
      <xdr:col>3</xdr:col>
      <xdr:colOff>1512541</xdr:colOff>
      <xdr:row>11</xdr:row>
      <xdr:rowOff>19050</xdr:rowOff>
    </xdr:to>
    <xdr:cxnSp macro="">
      <xdr:nvCxnSpPr>
        <xdr:cNvPr id="25" name="연결선: 꺾임 24">
          <a:extLst>
            <a:ext uri="{FF2B5EF4-FFF2-40B4-BE49-F238E27FC236}">
              <a16:creationId xmlns:a16="http://schemas.microsoft.com/office/drawing/2014/main" id="{E903E83D-DDDB-473F-A1F9-71E81905C2F3}"/>
            </a:ext>
          </a:extLst>
        </xdr:cNvPr>
        <xdr:cNvCxnSpPr>
          <a:stCxn id="9" idx="2"/>
          <a:endCxn id="2" idx="0"/>
        </xdr:cNvCxnSpPr>
      </xdr:nvCxnSpPr>
      <xdr:spPr>
        <a:xfrm rot="5400000">
          <a:off x="5669204" y="3813763"/>
          <a:ext cx="351596" cy="2828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66674</xdr:colOff>
      <xdr:row>17</xdr:row>
      <xdr:rowOff>152399</xdr:rowOff>
    </xdr:from>
    <xdr:to>
      <xdr:col>47</xdr:col>
      <xdr:colOff>323850</xdr:colOff>
      <xdr:row>22</xdr:row>
      <xdr:rowOff>76200</xdr:rowOff>
    </xdr:to>
    <xdr:sp macro="" textlink="">
      <xdr:nvSpPr>
        <xdr:cNvPr id="4" name="말풍선: 타원형 3">
          <a:extLst>
            <a:ext uri="{FF2B5EF4-FFF2-40B4-BE49-F238E27FC236}">
              <a16:creationId xmlns:a16="http://schemas.microsoft.com/office/drawing/2014/main" id="{F4E4B5E4-30A6-4F85-861D-DCABF08B3864}"/>
            </a:ext>
          </a:extLst>
        </xdr:cNvPr>
        <xdr:cNvSpPr/>
      </xdr:nvSpPr>
      <xdr:spPr>
        <a:xfrm>
          <a:off x="14487524" y="3981449"/>
          <a:ext cx="2019301" cy="895351"/>
        </a:xfrm>
        <a:prstGeom prst="wedgeEllipseCallout">
          <a:avLst>
            <a:gd name="adj1" fmla="val -75589"/>
            <a:gd name="adj2" fmla="val 75116"/>
          </a:avLst>
        </a:prstGeom>
        <a:solidFill>
          <a:schemeClr val="bg1"/>
        </a:solidFill>
        <a:ln w="222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+mn-ea"/>
              <a:ea typeface="+mn-ea"/>
            </a:rPr>
            <a:t>인수인계 후 담당자 작성</a:t>
          </a:r>
        </a:p>
      </xdr:txBody>
    </xdr:sp>
    <xdr:clientData/>
  </xdr:twoCellAnchor>
  <xdr:twoCellAnchor>
    <xdr:from>
      <xdr:col>31</xdr:col>
      <xdr:colOff>19050</xdr:colOff>
      <xdr:row>41</xdr:row>
      <xdr:rowOff>171450</xdr:rowOff>
    </xdr:from>
    <xdr:to>
      <xdr:col>39</xdr:col>
      <xdr:colOff>9525</xdr:colOff>
      <xdr:row>45</xdr:row>
      <xdr:rowOff>104775</xdr:rowOff>
    </xdr:to>
    <xdr:sp macro="" textlink="">
      <xdr:nvSpPr>
        <xdr:cNvPr id="5" name="말풍선: 타원형 4">
          <a:extLst>
            <a:ext uri="{FF2B5EF4-FFF2-40B4-BE49-F238E27FC236}">
              <a16:creationId xmlns:a16="http://schemas.microsoft.com/office/drawing/2014/main" id="{000E1006-96DE-47A1-AA5A-997E0E5D491A}"/>
            </a:ext>
          </a:extLst>
        </xdr:cNvPr>
        <xdr:cNvSpPr/>
      </xdr:nvSpPr>
      <xdr:spPr>
        <a:xfrm>
          <a:off x="10791825" y="9620250"/>
          <a:ext cx="2809875" cy="676275"/>
        </a:xfrm>
        <a:prstGeom prst="wedgeEllipseCallout">
          <a:avLst>
            <a:gd name="adj1" fmla="val -33429"/>
            <a:gd name="adj2" fmla="val 86818"/>
          </a:avLst>
        </a:prstGeom>
        <a:solidFill>
          <a:schemeClr val="bg1"/>
        </a:solidFill>
        <a:ln w="222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+mn-ea"/>
              <a:ea typeface="+mn-ea"/>
            </a:rPr>
            <a:t>인수인계 후 담당자 작성</a:t>
          </a:r>
        </a:p>
      </xdr:txBody>
    </xdr:sp>
    <xdr:clientData/>
  </xdr:twoCellAnchor>
  <xdr:twoCellAnchor>
    <xdr:from>
      <xdr:col>34</xdr:col>
      <xdr:colOff>342900</xdr:colOff>
      <xdr:row>60</xdr:row>
      <xdr:rowOff>171450</xdr:rowOff>
    </xdr:from>
    <xdr:to>
      <xdr:col>43</xdr:col>
      <xdr:colOff>209550</xdr:colOff>
      <xdr:row>64</xdr:row>
      <xdr:rowOff>104775</xdr:rowOff>
    </xdr:to>
    <xdr:sp macro="" textlink="">
      <xdr:nvSpPr>
        <xdr:cNvPr id="6" name="말풍선: 타원형 5">
          <a:extLst>
            <a:ext uri="{FF2B5EF4-FFF2-40B4-BE49-F238E27FC236}">
              <a16:creationId xmlns:a16="http://schemas.microsoft.com/office/drawing/2014/main" id="{07907519-213F-4E63-90B7-E7AB83BBC371}"/>
            </a:ext>
          </a:extLst>
        </xdr:cNvPr>
        <xdr:cNvSpPr/>
      </xdr:nvSpPr>
      <xdr:spPr>
        <a:xfrm>
          <a:off x="12172950" y="14458950"/>
          <a:ext cx="2809875" cy="676275"/>
        </a:xfrm>
        <a:prstGeom prst="wedgeEllipseCallout">
          <a:avLst>
            <a:gd name="adj1" fmla="val -18514"/>
            <a:gd name="adj2" fmla="val 86818"/>
          </a:avLst>
        </a:prstGeom>
        <a:solidFill>
          <a:schemeClr val="bg1"/>
        </a:solidFill>
        <a:ln w="222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ysClr val="windowText" lastClr="000000"/>
              </a:solidFill>
              <a:latin typeface="+mn-ea"/>
              <a:ea typeface="+mn-ea"/>
            </a:rPr>
            <a:t>인수인계 후 담당자 작성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2</xdr:row>
      <xdr:rowOff>209550</xdr:rowOff>
    </xdr:from>
    <xdr:to>
      <xdr:col>7</xdr:col>
      <xdr:colOff>76200</xdr:colOff>
      <xdr:row>4</xdr:row>
      <xdr:rowOff>542925</xdr:rowOff>
    </xdr:to>
    <xdr:sp macro="" textlink="">
      <xdr:nvSpPr>
        <xdr:cNvPr id="2" name="말풍선: 타원형 1">
          <a:extLst>
            <a:ext uri="{FF2B5EF4-FFF2-40B4-BE49-F238E27FC236}">
              <a16:creationId xmlns:a16="http://schemas.microsoft.com/office/drawing/2014/main" id="{3C91B907-D81B-4C06-84D8-F48644F70FE1}"/>
            </a:ext>
          </a:extLst>
        </xdr:cNvPr>
        <xdr:cNvSpPr/>
      </xdr:nvSpPr>
      <xdr:spPr>
        <a:xfrm>
          <a:off x="8791575" y="752475"/>
          <a:ext cx="2228850" cy="1104900"/>
        </a:xfrm>
        <a:prstGeom prst="wedgeEllipseCallout">
          <a:avLst>
            <a:gd name="adj1" fmla="val -96791"/>
            <a:gd name="adj2" fmla="val 77519"/>
          </a:avLst>
        </a:prstGeom>
        <a:solidFill>
          <a:schemeClr val="bg1"/>
        </a:solidFill>
        <a:ln w="222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 u="sng">
              <a:solidFill>
                <a:srgbClr val="FF0000"/>
              </a:solidFill>
              <a:latin typeface="+mn-ea"/>
              <a:ea typeface="+mn-ea"/>
            </a:rPr>
            <a:t>특이사항은 </a:t>
          </a:r>
          <a:r>
            <a:rPr lang="en-US" altLang="ko-KR" sz="1100" b="1" u="sng">
              <a:solidFill>
                <a:srgbClr val="FF0000"/>
              </a:solidFill>
              <a:latin typeface="+mn-ea"/>
              <a:ea typeface="+mn-ea"/>
            </a:rPr>
            <a:t>'</a:t>
          </a:r>
          <a:r>
            <a:rPr lang="ko-KR" altLang="en-US" sz="1100" b="1" u="sng">
              <a:solidFill>
                <a:srgbClr val="FF0000"/>
              </a:solidFill>
              <a:latin typeface="+mn-ea"/>
              <a:ea typeface="+mn-ea"/>
            </a:rPr>
            <a:t>빨간색</a:t>
          </a:r>
          <a:r>
            <a:rPr lang="en-US" altLang="ko-KR" sz="1100" b="1" u="sng">
              <a:solidFill>
                <a:srgbClr val="FF0000"/>
              </a:solidFill>
              <a:latin typeface="+mn-ea"/>
              <a:ea typeface="+mn-ea"/>
            </a:rPr>
            <a:t>' </a:t>
          </a:r>
          <a:r>
            <a:rPr lang="ko-KR" altLang="en-US" sz="1100" b="1" u="sng">
              <a:solidFill>
                <a:srgbClr val="FF0000"/>
              </a:solidFill>
              <a:latin typeface="+mn-ea"/>
              <a:ea typeface="+mn-ea"/>
            </a:rPr>
            <a:t>으로 볼드체에 밑줄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3279-8172-4160-8F41-6C9DEA666FBC}">
  <sheetPr>
    <tabColor rgb="FF92D050"/>
    <pageSetUpPr fitToPage="1"/>
  </sheetPr>
  <dimension ref="A1:M18"/>
  <sheetViews>
    <sheetView showGridLines="0" view="pageBreakPreview" topLeftCell="A4" zoomScaleNormal="100" zoomScaleSheetLayoutView="100" workbookViewId="0">
      <selection activeCell="D16" sqref="D16"/>
    </sheetView>
  </sheetViews>
  <sheetFormatPr defaultRowHeight="16.5"/>
  <cols>
    <col min="1" max="1" width="8.375" style="91" customWidth="1"/>
    <col min="2" max="2" width="9" style="91"/>
    <col min="3" max="3" width="8.75" style="91" customWidth="1"/>
    <col min="4" max="4" width="9" style="91" customWidth="1"/>
    <col min="5" max="5" width="21.125" style="91" customWidth="1"/>
    <col min="6" max="7" width="9" style="91"/>
    <col min="8" max="8" width="12.75" style="91" customWidth="1"/>
    <col min="9" max="9" width="15.625" style="91" customWidth="1"/>
    <col min="10" max="10" width="8.25" style="91" customWidth="1"/>
    <col min="11" max="11" width="10.375" style="91" customWidth="1"/>
    <col min="12" max="12" width="12.625" style="91" customWidth="1"/>
    <col min="13" max="13" width="10" style="91" hidden="1" customWidth="1"/>
    <col min="14" max="16384" width="9" style="91"/>
  </cols>
  <sheetData>
    <row r="1" spans="1:12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18.75">
      <c r="A2" s="90"/>
      <c r="B2" s="92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ht="135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3" t="s">
        <v>213</v>
      </c>
    </row>
    <row r="4" spans="1:12" ht="56.2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4" t="s">
        <v>222</v>
      </c>
    </row>
    <row r="5" spans="1:12" ht="33.7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5"/>
    </row>
    <row r="6" spans="1:12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ht="3.75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ht="10.5" customHeight="1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spans="1:12" ht="38.25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6"/>
    </row>
    <row r="10" spans="1:12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</row>
    <row r="11" spans="1:12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</row>
    <row r="12" spans="1:12" ht="104.25" customHeight="1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ht="20.25">
      <c r="A13" s="97"/>
      <c r="B13" s="97"/>
      <c r="C13" s="97"/>
      <c r="D13" s="102" t="s">
        <v>223</v>
      </c>
      <c r="E13" s="102"/>
      <c r="F13" s="102"/>
      <c r="G13" s="102"/>
      <c r="H13" s="102"/>
      <c r="I13" s="102"/>
      <c r="J13" s="102"/>
      <c r="K13" s="102"/>
      <c r="L13" s="102"/>
    </row>
    <row r="14" spans="1:12" ht="10.5" customHeight="1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</row>
    <row r="15" spans="1:12" ht="41.25" customHeight="1">
      <c r="A15" s="97"/>
      <c r="B15" s="97"/>
      <c r="C15" s="97"/>
      <c r="D15" s="102" t="s">
        <v>224</v>
      </c>
      <c r="E15" s="102"/>
      <c r="F15" s="102"/>
      <c r="G15" s="102"/>
      <c r="H15" s="102"/>
      <c r="I15" s="102"/>
      <c r="J15" s="102"/>
      <c r="K15" s="102"/>
      <c r="L15" s="102"/>
    </row>
    <row r="16" spans="1:12" ht="55.5" customHeight="1">
      <c r="A16" s="90"/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</row>
    <row r="17" spans="1:1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</row>
    <row r="18" spans="1:1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</row>
  </sheetData>
  <mergeCells count="3">
    <mergeCell ref="D13:L13"/>
    <mergeCell ref="A14:L14"/>
    <mergeCell ref="D15:L15"/>
  </mergeCells>
  <phoneticPr fontId="1" type="noConversion"/>
  <pageMargins left="0.70866141732283472" right="0.78740157480314965" top="0.35433070866141736" bottom="0.15748031496062992" header="0" footer="0"/>
  <pageSetup paperSize="9" scale="89" fitToHeight="0" orientation="landscape" r:id="rId1"/>
  <rowBreaks count="1" manualBreakCount="1">
    <brk id="16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7FEE-951E-470B-AC31-168C428D03F5}">
  <sheetPr>
    <tabColor rgb="FF92D050"/>
    <pageSetUpPr fitToPage="1"/>
  </sheetPr>
  <dimension ref="A1:M34"/>
  <sheetViews>
    <sheetView showGridLines="0" view="pageBreakPreview" zoomScaleNormal="100" zoomScaleSheetLayoutView="100" workbookViewId="0">
      <selection activeCell="C7" sqref="C7:D7"/>
    </sheetView>
  </sheetViews>
  <sheetFormatPr defaultRowHeight="16.5"/>
  <cols>
    <col min="1" max="1" width="8.375" style="91" customWidth="1"/>
    <col min="2" max="2" width="9" style="91"/>
    <col min="3" max="3" width="8.75" style="91" customWidth="1"/>
    <col min="4" max="4" width="9" style="91" customWidth="1"/>
    <col min="5" max="5" width="21.125" style="91" customWidth="1"/>
    <col min="6" max="7" width="9" style="91"/>
    <col min="8" max="8" width="12.75" style="91" customWidth="1"/>
    <col min="9" max="9" width="15.625" style="91" customWidth="1"/>
    <col min="10" max="10" width="8.25" style="91" customWidth="1"/>
    <col min="11" max="11" width="10.375" style="91" customWidth="1"/>
    <col min="12" max="12" width="12.625" style="91" customWidth="1"/>
    <col min="13" max="13" width="10" style="91" hidden="1" customWidth="1"/>
    <col min="14" max="16384" width="9" style="91"/>
  </cols>
  <sheetData>
    <row r="1" spans="1:12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2" ht="17.25" customHeight="1">
      <c r="A3" s="125" t="s">
        <v>207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2" ht="17.25" thickBo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 ht="30" customHeight="1">
      <c r="A5" s="126" t="s">
        <v>208</v>
      </c>
      <c r="B5" s="127"/>
      <c r="C5" s="128" t="s">
        <v>61</v>
      </c>
      <c r="D5" s="129"/>
      <c r="E5" s="128" t="s">
        <v>209</v>
      </c>
      <c r="F5" s="130"/>
      <c r="G5" s="130"/>
      <c r="H5" s="130"/>
      <c r="I5" s="130"/>
      <c r="J5" s="131"/>
      <c r="K5" s="132" t="s">
        <v>210</v>
      </c>
      <c r="L5" s="133"/>
    </row>
    <row r="6" spans="1:12">
      <c r="A6" s="111" t="s">
        <v>211</v>
      </c>
      <c r="B6" s="112"/>
      <c r="C6" s="119" t="s">
        <v>225</v>
      </c>
      <c r="D6" s="120"/>
      <c r="E6" s="119" t="s">
        <v>212</v>
      </c>
      <c r="F6" s="121"/>
      <c r="G6" s="121"/>
      <c r="H6" s="121"/>
      <c r="I6" s="121"/>
      <c r="J6" s="122"/>
      <c r="K6" s="123" t="s">
        <v>226</v>
      </c>
      <c r="L6" s="124"/>
    </row>
    <row r="7" spans="1:12">
      <c r="A7" s="111"/>
      <c r="B7" s="112"/>
      <c r="C7" s="119"/>
      <c r="D7" s="120"/>
      <c r="E7" s="119"/>
      <c r="F7" s="121"/>
      <c r="G7" s="121"/>
      <c r="H7" s="121"/>
      <c r="I7" s="121"/>
      <c r="J7" s="122"/>
      <c r="K7" s="123"/>
      <c r="L7" s="124"/>
    </row>
    <row r="8" spans="1:12">
      <c r="A8" s="111"/>
      <c r="B8" s="112"/>
      <c r="C8" s="119"/>
      <c r="D8" s="120"/>
      <c r="E8" s="113"/>
      <c r="F8" s="115"/>
      <c r="G8" s="115"/>
      <c r="H8" s="115"/>
      <c r="I8" s="115"/>
      <c r="J8" s="116"/>
      <c r="K8" s="123"/>
      <c r="L8" s="124"/>
    </row>
    <row r="9" spans="1:12">
      <c r="A9" s="111"/>
      <c r="B9" s="112"/>
      <c r="C9" s="113"/>
      <c r="D9" s="114"/>
      <c r="E9" s="113"/>
      <c r="F9" s="115"/>
      <c r="G9" s="115"/>
      <c r="H9" s="115"/>
      <c r="I9" s="115"/>
      <c r="J9" s="116"/>
      <c r="K9" s="117"/>
      <c r="L9" s="118"/>
    </row>
    <row r="10" spans="1:12">
      <c r="A10" s="111"/>
      <c r="B10" s="112"/>
      <c r="C10" s="113"/>
      <c r="D10" s="114"/>
      <c r="E10" s="113"/>
      <c r="F10" s="115"/>
      <c r="G10" s="115"/>
      <c r="H10" s="115"/>
      <c r="I10" s="115"/>
      <c r="J10" s="116"/>
      <c r="K10" s="117"/>
      <c r="L10" s="118"/>
    </row>
    <row r="11" spans="1:12">
      <c r="A11" s="111"/>
      <c r="B11" s="112"/>
      <c r="C11" s="113"/>
      <c r="D11" s="114"/>
      <c r="E11" s="113"/>
      <c r="F11" s="115"/>
      <c r="G11" s="115"/>
      <c r="H11" s="115"/>
      <c r="I11" s="115"/>
      <c r="J11" s="116"/>
      <c r="K11" s="117"/>
      <c r="L11" s="118"/>
    </row>
    <row r="12" spans="1:12">
      <c r="A12" s="111"/>
      <c r="B12" s="112"/>
      <c r="C12" s="113"/>
      <c r="D12" s="114"/>
      <c r="E12" s="113"/>
      <c r="F12" s="115"/>
      <c r="G12" s="115"/>
      <c r="H12" s="115"/>
      <c r="I12" s="115"/>
      <c r="J12" s="116"/>
      <c r="K12" s="117"/>
      <c r="L12" s="118"/>
    </row>
    <row r="13" spans="1:12">
      <c r="A13" s="111"/>
      <c r="B13" s="112"/>
      <c r="C13" s="113"/>
      <c r="D13" s="114"/>
      <c r="E13" s="113"/>
      <c r="F13" s="115"/>
      <c r="G13" s="115"/>
      <c r="H13" s="115"/>
      <c r="I13" s="115"/>
      <c r="J13" s="116"/>
      <c r="K13" s="117"/>
      <c r="L13" s="118"/>
    </row>
    <row r="14" spans="1:12">
      <c r="A14" s="111"/>
      <c r="B14" s="112"/>
      <c r="C14" s="113"/>
      <c r="D14" s="114"/>
      <c r="E14" s="113"/>
      <c r="F14" s="115"/>
      <c r="G14" s="115"/>
      <c r="H14" s="115"/>
      <c r="I14" s="115"/>
      <c r="J14" s="116"/>
      <c r="K14" s="117"/>
      <c r="L14" s="118"/>
    </row>
    <row r="15" spans="1:12">
      <c r="A15" s="111"/>
      <c r="B15" s="112"/>
      <c r="C15" s="113"/>
      <c r="D15" s="114"/>
      <c r="E15" s="113"/>
      <c r="F15" s="115"/>
      <c r="G15" s="115"/>
      <c r="H15" s="115"/>
      <c r="I15" s="115"/>
      <c r="J15" s="116"/>
      <c r="K15" s="117"/>
      <c r="L15" s="118"/>
    </row>
    <row r="16" spans="1:12">
      <c r="A16" s="111"/>
      <c r="B16" s="112"/>
      <c r="C16" s="113"/>
      <c r="D16" s="114"/>
      <c r="E16" s="113"/>
      <c r="F16" s="115"/>
      <c r="G16" s="115"/>
      <c r="H16" s="115"/>
      <c r="I16" s="115"/>
      <c r="J16" s="116"/>
      <c r="K16" s="117"/>
      <c r="L16" s="118"/>
    </row>
    <row r="17" spans="1:12">
      <c r="A17" s="111"/>
      <c r="B17" s="112"/>
      <c r="C17" s="113"/>
      <c r="D17" s="114"/>
      <c r="E17" s="113"/>
      <c r="F17" s="115"/>
      <c r="G17" s="115"/>
      <c r="H17" s="115"/>
      <c r="I17" s="115"/>
      <c r="J17" s="116"/>
      <c r="K17" s="117"/>
      <c r="L17" s="118"/>
    </row>
    <row r="18" spans="1:12">
      <c r="A18" s="111"/>
      <c r="B18" s="112"/>
      <c r="C18" s="113"/>
      <c r="D18" s="114"/>
      <c r="E18" s="113"/>
      <c r="F18" s="115"/>
      <c r="G18" s="115"/>
      <c r="H18" s="115"/>
      <c r="I18" s="115"/>
      <c r="J18" s="116"/>
      <c r="K18" s="117"/>
      <c r="L18" s="118"/>
    </row>
    <row r="19" spans="1:12">
      <c r="A19" s="111"/>
      <c r="B19" s="112"/>
      <c r="C19" s="113"/>
      <c r="D19" s="114"/>
      <c r="E19" s="113"/>
      <c r="F19" s="115"/>
      <c r="G19" s="115"/>
      <c r="H19" s="115"/>
      <c r="I19" s="115"/>
      <c r="J19" s="116"/>
      <c r="K19" s="117"/>
      <c r="L19" s="118"/>
    </row>
    <row r="20" spans="1:12">
      <c r="A20" s="111"/>
      <c r="B20" s="112"/>
      <c r="C20" s="113"/>
      <c r="D20" s="114"/>
      <c r="E20" s="113"/>
      <c r="F20" s="115"/>
      <c r="G20" s="115"/>
      <c r="H20" s="115"/>
      <c r="I20" s="115"/>
      <c r="J20" s="116"/>
      <c r="K20" s="117"/>
      <c r="L20" s="118"/>
    </row>
    <row r="21" spans="1:12">
      <c r="A21" s="111"/>
      <c r="B21" s="112"/>
      <c r="C21" s="113"/>
      <c r="D21" s="114"/>
      <c r="E21" s="113"/>
      <c r="F21" s="115"/>
      <c r="G21" s="115"/>
      <c r="H21" s="115"/>
      <c r="I21" s="115"/>
      <c r="J21" s="116"/>
      <c r="K21" s="117"/>
      <c r="L21" s="118"/>
    </row>
    <row r="22" spans="1:12">
      <c r="A22" s="111"/>
      <c r="B22" s="112"/>
      <c r="C22" s="113"/>
      <c r="D22" s="114"/>
      <c r="E22" s="113"/>
      <c r="F22" s="115"/>
      <c r="G22" s="115"/>
      <c r="H22" s="115"/>
      <c r="I22" s="115"/>
      <c r="J22" s="116"/>
      <c r="K22" s="117"/>
      <c r="L22" s="118"/>
    </row>
    <row r="23" spans="1:12">
      <c r="A23" s="111"/>
      <c r="B23" s="112"/>
      <c r="C23" s="113"/>
      <c r="D23" s="114"/>
      <c r="E23" s="113"/>
      <c r="F23" s="115"/>
      <c r="G23" s="115"/>
      <c r="H23" s="115"/>
      <c r="I23" s="115"/>
      <c r="J23" s="116"/>
      <c r="K23" s="117"/>
      <c r="L23" s="118"/>
    </row>
    <row r="24" spans="1:12">
      <c r="A24" s="111"/>
      <c r="B24" s="112"/>
      <c r="C24" s="113"/>
      <c r="D24" s="114"/>
      <c r="E24" s="113"/>
      <c r="F24" s="115"/>
      <c r="G24" s="115"/>
      <c r="H24" s="115"/>
      <c r="I24" s="115"/>
      <c r="J24" s="116"/>
      <c r="K24" s="117"/>
      <c r="L24" s="118"/>
    </row>
    <row r="25" spans="1:12" ht="17.25" thickBot="1">
      <c r="A25" s="103"/>
      <c r="B25" s="104"/>
      <c r="C25" s="105"/>
      <c r="D25" s="106"/>
      <c r="E25" s="105"/>
      <c r="F25" s="107"/>
      <c r="G25" s="107"/>
      <c r="H25" s="107"/>
      <c r="I25" s="107"/>
      <c r="J25" s="108"/>
      <c r="K25" s="109"/>
      <c r="L25" s="110"/>
    </row>
    <row r="26" spans="1:12">
      <c r="A26" s="99"/>
      <c r="B26" s="99"/>
      <c r="C26" s="100"/>
      <c r="D26" s="100"/>
      <c r="E26" s="100"/>
      <c r="F26" s="100"/>
      <c r="G26" s="100"/>
      <c r="H26" s="100"/>
      <c r="I26" s="100"/>
      <c r="J26" s="100"/>
      <c r="K26" s="101"/>
      <c r="L26" s="101"/>
    </row>
    <row r="27" spans="1:12">
      <c r="A27" s="99"/>
      <c r="B27" s="99"/>
      <c r="C27" s="100"/>
      <c r="D27" s="100"/>
      <c r="E27" s="100"/>
      <c r="F27" s="100"/>
      <c r="G27" s="100"/>
      <c r="H27" s="100"/>
      <c r="I27" s="100"/>
      <c r="J27" s="100"/>
      <c r="K27" s="101"/>
      <c r="L27" s="101"/>
    </row>
    <row r="28" spans="1:12">
      <c r="A28" s="99"/>
      <c r="B28" s="99"/>
      <c r="C28" s="100"/>
      <c r="D28" s="100"/>
      <c r="E28" s="100"/>
      <c r="F28" s="100"/>
      <c r="G28" s="100"/>
      <c r="H28" s="100"/>
      <c r="I28" s="100"/>
      <c r="J28" s="100"/>
      <c r="K28" s="101"/>
      <c r="L28" s="101"/>
    </row>
    <row r="29" spans="1:12">
      <c r="A29" s="99"/>
      <c r="B29" s="99"/>
      <c r="C29" s="100"/>
      <c r="D29" s="100"/>
      <c r="E29" s="100"/>
      <c r="F29" s="100"/>
      <c r="G29" s="100"/>
      <c r="H29" s="100"/>
      <c r="I29" s="100"/>
      <c r="J29" s="100"/>
      <c r="K29" s="101"/>
      <c r="L29" s="101"/>
    </row>
    <row r="30" spans="1:12">
      <c r="A30" s="99"/>
      <c r="B30" s="99"/>
      <c r="C30" s="100"/>
      <c r="D30" s="100"/>
      <c r="E30" s="100"/>
      <c r="F30" s="100"/>
      <c r="G30" s="100"/>
      <c r="H30" s="100"/>
      <c r="I30" s="100"/>
      <c r="J30" s="100"/>
      <c r="K30" s="101"/>
      <c r="L30" s="101"/>
    </row>
    <row r="31" spans="1:12">
      <c r="A31" s="99"/>
      <c r="B31" s="99"/>
      <c r="C31" s="100"/>
      <c r="D31" s="100"/>
      <c r="E31" s="100"/>
      <c r="F31" s="100"/>
      <c r="G31" s="100"/>
      <c r="H31" s="100"/>
      <c r="I31" s="100"/>
      <c r="J31" s="100"/>
      <c r="K31" s="101"/>
      <c r="L31" s="101"/>
    </row>
    <row r="32" spans="1:12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</row>
    <row r="34" ht="25.5" customHeight="1"/>
  </sheetData>
  <mergeCells count="85">
    <mergeCell ref="A6:B6"/>
    <mergeCell ref="C6:D6"/>
    <mergeCell ref="E6:J6"/>
    <mergeCell ref="K6:L6"/>
    <mergeCell ref="A3:L3"/>
    <mergeCell ref="A5:B5"/>
    <mergeCell ref="C5:D5"/>
    <mergeCell ref="E5:J5"/>
    <mergeCell ref="K5:L5"/>
    <mergeCell ref="A7:B7"/>
    <mergeCell ref="C7:D7"/>
    <mergeCell ref="E7:J7"/>
    <mergeCell ref="K7:L7"/>
    <mergeCell ref="A8:B8"/>
    <mergeCell ref="C8:D8"/>
    <mergeCell ref="E8:J8"/>
    <mergeCell ref="K8:L8"/>
    <mergeCell ref="A9:B9"/>
    <mergeCell ref="C9:D9"/>
    <mergeCell ref="E9:J9"/>
    <mergeCell ref="K9:L9"/>
    <mergeCell ref="A10:B10"/>
    <mergeCell ref="C10:D10"/>
    <mergeCell ref="E10:J10"/>
    <mergeCell ref="K10:L10"/>
    <mergeCell ref="A11:B11"/>
    <mergeCell ref="C11:D11"/>
    <mergeCell ref="E11:J11"/>
    <mergeCell ref="K11:L11"/>
    <mergeCell ref="A12:B12"/>
    <mergeCell ref="C12:D12"/>
    <mergeCell ref="E12:J12"/>
    <mergeCell ref="K12:L12"/>
    <mergeCell ref="A13:B13"/>
    <mergeCell ref="C13:D13"/>
    <mergeCell ref="E13:J13"/>
    <mergeCell ref="K13:L13"/>
    <mergeCell ref="A14:B14"/>
    <mergeCell ref="C14:D14"/>
    <mergeCell ref="E14:J14"/>
    <mergeCell ref="K14:L14"/>
    <mergeCell ref="A15:B15"/>
    <mergeCell ref="C15:D15"/>
    <mergeCell ref="E15:J15"/>
    <mergeCell ref="K15:L15"/>
    <mergeCell ref="A16:B16"/>
    <mergeCell ref="C16:D16"/>
    <mergeCell ref="E16:J16"/>
    <mergeCell ref="K16:L16"/>
    <mergeCell ref="A17:B17"/>
    <mergeCell ref="C17:D17"/>
    <mergeCell ref="E17:J17"/>
    <mergeCell ref="K17:L17"/>
    <mergeCell ref="A18:B18"/>
    <mergeCell ref="C18:D18"/>
    <mergeCell ref="E18:J18"/>
    <mergeCell ref="K18:L18"/>
    <mergeCell ref="A19:B19"/>
    <mergeCell ref="C19:D19"/>
    <mergeCell ref="E19:J19"/>
    <mergeCell ref="K19:L19"/>
    <mergeCell ref="A20:B20"/>
    <mergeCell ref="C20:D20"/>
    <mergeCell ref="E20:J20"/>
    <mergeCell ref="K20:L20"/>
    <mergeCell ref="A21:B21"/>
    <mergeCell ref="C21:D21"/>
    <mergeCell ref="E21:J21"/>
    <mergeCell ref="K21:L21"/>
    <mergeCell ref="A22:B22"/>
    <mergeCell ref="C22:D22"/>
    <mergeCell ref="E22:J22"/>
    <mergeCell ref="K22:L22"/>
    <mergeCell ref="A25:B25"/>
    <mergeCell ref="C25:D25"/>
    <mergeCell ref="E25:J25"/>
    <mergeCell ref="K25:L25"/>
    <mergeCell ref="A23:B23"/>
    <mergeCell ref="C23:D23"/>
    <mergeCell ref="E23:J23"/>
    <mergeCell ref="K23:L23"/>
    <mergeCell ref="A24:B24"/>
    <mergeCell ref="C24:D24"/>
    <mergeCell ref="E24:J24"/>
    <mergeCell ref="K24:L24"/>
  </mergeCells>
  <phoneticPr fontId="1" type="noConversion"/>
  <pageMargins left="0.70866141732283472" right="0.78740157480314965" top="0.35433070866141736" bottom="0.15748031496062992" header="0" footer="0"/>
  <pageSetup paperSize="9" scale="8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5281-4163-4A2C-A021-4EED3F24093F}">
  <sheetPr>
    <tabColor rgb="FF92D050"/>
    <pageSetUpPr fitToPage="1"/>
  </sheetPr>
  <dimension ref="B1:E30"/>
  <sheetViews>
    <sheetView showGridLines="0" zoomScaleNormal="100" workbookViewId="0">
      <selection activeCell="B2" sqref="B2"/>
    </sheetView>
  </sheetViews>
  <sheetFormatPr defaultColWidth="9" defaultRowHeight="16.5"/>
  <cols>
    <col min="1" max="1" width="1.75" style="2" customWidth="1"/>
    <col min="2" max="2" width="15.5" style="2" customWidth="1"/>
    <col min="3" max="4" width="39.625" style="2" customWidth="1"/>
    <col min="5" max="5" width="52.625" style="2" customWidth="1"/>
    <col min="6" max="6" width="12.375" style="2" customWidth="1"/>
    <col min="7" max="16384" width="9" style="2"/>
  </cols>
  <sheetData>
    <row r="1" spans="2:5" s="1" customFormat="1" ht="26.25">
      <c r="B1" s="1" t="s">
        <v>214</v>
      </c>
    </row>
    <row r="2" spans="2:5" s="1" customFormat="1" ht="27" thickBot="1"/>
    <row r="3" spans="2:5" ht="23.25" customHeight="1" thickBot="1">
      <c r="B3" s="70" t="s">
        <v>21</v>
      </c>
      <c r="C3" s="71" t="s">
        <v>20</v>
      </c>
      <c r="D3" s="71" t="s">
        <v>87</v>
      </c>
      <c r="E3" s="72" t="s">
        <v>1</v>
      </c>
    </row>
    <row r="4" spans="2:5" ht="24.95" customHeight="1" thickTop="1">
      <c r="B4" s="134" t="s">
        <v>200</v>
      </c>
      <c r="C4" s="26"/>
      <c r="D4" s="23"/>
      <c r="E4" s="136" t="s">
        <v>199</v>
      </c>
    </row>
    <row r="5" spans="2:5" ht="30" customHeight="1">
      <c r="B5" s="134"/>
      <c r="C5" s="26"/>
      <c r="D5" s="85"/>
      <c r="E5" s="137"/>
    </row>
    <row r="6" spans="2:5" ht="30" customHeight="1">
      <c r="B6" s="134"/>
      <c r="C6" s="26"/>
      <c r="D6" s="24"/>
      <c r="E6" s="138"/>
    </row>
    <row r="7" spans="2:5" ht="42.75" customHeight="1">
      <c r="B7" s="135"/>
      <c r="C7" s="86" t="s">
        <v>201</v>
      </c>
      <c r="D7" s="30" t="s">
        <v>93</v>
      </c>
      <c r="E7" s="34" t="s">
        <v>96</v>
      </c>
    </row>
    <row r="8" spans="2:5" ht="30" customHeight="1">
      <c r="B8" s="135" t="s">
        <v>23</v>
      </c>
      <c r="C8" s="29"/>
      <c r="D8" s="27"/>
      <c r="E8" s="35" t="s">
        <v>203</v>
      </c>
    </row>
    <row r="9" spans="2:5" ht="14.25" customHeight="1">
      <c r="B9" s="147"/>
      <c r="C9" s="20"/>
      <c r="D9" s="27"/>
      <c r="E9" s="36"/>
    </row>
    <row r="10" spans="2:5" ht="38.25" customHeight="1">
      <c r="B10" s="147"/>
      <c r="C10" s="145"/>
      <c r="D10" s="27"/>
      <c r="E10" s="143" t="s">
        <v>94</v>
      </c>
    </row>
    <row r="11" spans="2:5" ht="26.25" customHeight="1">
      <c r="B11" s="148"/>
      <c r="C11" s="146"/>
      <c r="D11" s="27"/>
      <c r="E11" s="144"/>
    </row>
    <row r="12" spans="2:5" ht="56.25" customHeight="1">
      <c r="B12" s="135" t="s">
        <v>202</v>
      </c>
      <c r="C12" s="149"/>
      <c r="D12" s="149"/>
      <c r="E12" s="150" t="s">
        <v>206</v>
      </c>
    </row>
    <row r="13" spans="2:5" ht="18.75" customHeight="1">
      <c r="B13" s="148"/>
      <c r="C13" s="146"/>
      <c r="D13" s="146"/>
      <c r="E13" s="144"/>
    </row>
    <row r="14" spans="2:5" ht="41.25" customHeight="1">
      <c r="B14" s="139" t="s">
        <v>22</v>
      </c>
      <c r="C14" s="25" t="s">
        <v>91</v>
      </c>
      <c r="D14" s="31"/>
      <c r="E14" s="37"/>
    </row>
    <row r="15" spans="2:5" ht="41.25" customHeight="1">
      <c r="B15" s="140"/>
      <c r="C15" s="28"/>
      <c r="D15" s="32" t="s">
        <v>88</v>
      </c>
      <c r="E15" s="87" t="s">
        <v>205</v>
      </c>
    </row>
    <row r="16" spans="2:5" ht="24.95" customHeight="1">
      <c r="B16" s="38"/>
      <c r="C16" s="28"/>
      <c r="D16" s="29"/>
      <c r="E16" s="37"/>
    </row>
    <row r="17" spans="2:5" ht="30" customHeight="1">
      <c r="B17" s="141" t="s">
        <v>24</v>
      </c>
      <c r="C17" s="33"/>
      <c r="D17" s="21" t="s">
        <v>89</v>
      </c>
      <c r="E17" s="87" t="s">
        <v>204</v>
      </c>
    </row>
    <row r="18" spans="2:5" ht="26.25" customHeight="1">
      <c r="B18" s="141"/>
      <c r="C18" s="33"/>
      <c r="D18" s="22"/>
      <c r="E18" s="39"/>
    </row>
    <row r="19" spans="2:5" ht="30" customHeight="1" thickBot="1">
      <c r="B19" s="142"/>
      <c r="C19" s="40"/>
      <c r="D19" s="41" t="s">
        <v>90</v>
      </c>
      <c r="E19" s="42" t="s">
        <v>95</v>
      </c>
    </row>
    <row r="20" spans="2:5" ht="18" customHeight="1">
      <c r="C20" s="19"/>
      <c r="D20" s="19"/>
    </row>
    <row r="21" spans="2:5" ht="18" customHeight="1">
      <c r="B21" s="45" t="s">
        <v>92</v>
      </c>
    </row>
    <row r="22" spans="2:5" ht="18" customHeight="1">
      <c r="B22" s="19" t="s">
        <v>195</v>
      </c>
      <c r="C22" s="43"/>
      <c r="D22" s="43"/>
      <c r="E22" s="43"/>
    </row>
    <row r="23" spans="2:5" ht="18" customHeight="1">
      <c r="B23" s="19" t="s">
        <v>80</v>
      </c>
      <c r="C23" s="43"/>
      <c r="D23" s="43"/>
      <c r="E23" s="43"/>
    </row>
    <row r="24" spans="2:5" ht="18" customHeight="1">
      <c r="B24" s="19" t="s">
        <v>196</v>
      </c>
      <c r="C24" s="43"/>
      <c r="D24" s="43"/>
      <c r="E24" s="43"/>
    </row>
    <row r="25" spans="2:5" ht="18" customHeight="1">
      <c r="B25" s="44" t="s">
        <v>84</v>
      </c>
      <c r="C25" s="43"/>
      <c r="D25" s="43"/>
      <c r="E25" s="43"/>
    </row>
    <row r="26" spans="2:5" ht="18" customHeight="1">
      <c r="B26" s="44" t="s">
        <v>83</v>
      </c>
      <c r="C26" s="43"/>
      <c r="D26" s="43"/>
      <c r="E26" s="43"/>
    </row>
    <row r="27" spans="2:5" ht="18" customHeight="1">
      <c r="B27" s="44" t="s">
        <v>82</v>
      </c>
      <c r="C27" s="43"/>
      <c r="D27" s="43"/>
      <c r="E27" s="43"/>
    </row>
    <row r="28" spans="2:5">
      <c r="B28" s="19" t="s">
        <v>85</v>
      </c>
      <c r="C28" s="43"/>
      <c r="D28" s="43"/>
      <c r="E28" s="43"/>
    </row>
    <row r="30" spans="2:5">
      <c r="B30" s="3"/>
    </row>
  </sheetData>
  <mergeCells count="11">
    <mergeCell ref="B4:B7"/>
    <mergeCell ref="E4:E6"/>
    <mergeCell ref="B14:B15"/>
    <mergeCell ref="B17:B19"/>
    <mergeCell ref="E10:E11"/>
    <mergeCell ref="C10:C11"/>
    <mergeCell ref="B8:B11"/>
    <mergeCell ref="B12:B13"/>
    <mergeCell ref="C12:C13"/>
    <mergeCell ref="E12:E13"/>
    <mergeCell ref="D12:D13"/>
  </mergeCells>
  <phoneticPr fontId="1" type="noConversion"/>
  <pageMargins left="0.7" right="0.7" top="0.75" bottom="0.75" header="0.3" footer="0.3"/>
  <pageSetup paperSize="9" scale="7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452F-F181-4396-A81D-1311295DB107}">
  <sheetPr codeName="Sheet3"/>
  <dimension ref="B1:AT133"/>
  <sheetViews>
    <sheetView showGridLines="0" tabSelected="1" topLeftCell="A54" workbookViewId="0">
      <selection activeCell="I67" sqref="I67:AD67"/>
    </sheetView>
  </sheetViews>
  <sheetFormatPr defaultColWidth="4.625" defaultRowHeight="18" customHeight="1"/>
  <cols>
    <col min="1" max="1" width="1.625" style="49" customWidth="1"/>
    <col min="2" max="6" width="4.625" style="49"/>
    <col min="7" max="8" width="5.125" style="49" bestFit="1" customWidth="1"/>
    <col min="9" max="41" width="4.625" style="49"/>
    <col min="42" max="42" width="1.625" style="49" customWidth="1"/>
    <col min="43" max="16384" width="4.625" style="49"/>
  </cols>
  <sheetData>
    <row r="1" spans="2:41" customFormat="1" ht="18" customHeight="1">
      <c r="B1" s="48"/>
    </row>
    <row r="2" spans="2:41" customFormat="1" ht="27" customHeight="1">
      <c r="B2" s="69" t="s">
        <v>215</v>
      </c>
    </row>
    <row r="3" spans="2:41" customFormat="1" ht="18" customHeight="1"/>
    <row r="4" spans="2:41" customFormat="1" ht="18" customHeight="1"/>
    <row r="5" spans="2:41" customFormat="1" ht="18" customHeight="1" thickBot="1">
      <c r="B5" s="57" t="s">
        <v>216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2:41" ht="5.0999999999999996" customHeight="1" thickBot="1">
      <c r="B6" s="51"/>
    </row>
    <row r="7" spans="2:41" ht="18" customHeight="1" thickBot="1">
      <c r="B7" s="52" t="s">
        <v>0</v>
      </c>
      <c r="C7" s="251" t="s">
        <v>8</v>
      </c>
      <c r="D7" s="251"/>
      <c r="E7" s="251"/>
      <c r="F7" s="251"/>
      <c r="G7" s="251"/>
      <c r="H7" s="251"/>
      <c r="I7" s="252" t="s">
        <v>2</v>
      </c>
      <c r="J7" s="253"/>
      <c r="K7" s="253"/>
      <c r="L7" s="253"/>
      <c r="M7" s="253"/>
      <c r="N7" s="253"/>
      <c r="O7" s="253"/>
      <c r="P7" s="253"/>
      <c r="Q7" s="253"/>
      <c r="R7" s="253"/>
      <c r="S7" s="254"/>
      <c r="T7" s="255" t="s">
        <v>1</v>
      </c>
      <c r="U7" s="255"/>
      <c r="V7" s="255"/>
      <c r="W7" s="255"/>
      <c r="X7" s="256"/>
      <c r="Z7" s="163" t="s">
        <v>192</v>
      </c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2:41" ht="18" customHeight="1" thickTop="1">
      <c r="B8" s="53">
        <v>1</v>
      </c>
      <c r="C8" s="257" t="s">
        <v>4</v>
      </c>
      <c r="D8" s="257"/>
      <c r="E8" s="257"/>
      <c r="F8" s="257"/>
      <c r="G8" s="257"/>
      <c r="H8" s="257"/>
      <c r="I8" s="258" t="s">
        <v>227</v>
      </c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9"/>
      <c r="U8" s="260"/>
      <c r="V8" s="260"/>
      <c r="W8" s="260"/>
      <c r="X8" s="261"/>
      <c r="Z8" s="166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8"/>
    </row>
    <row r="9" spans="2:41" ht="18" customHeight="1">
      <c r="B9" s="54">
        <v>2</v>
      </c>
      <c r="C9" s="266" t="s">
        <v>5</v>
      </c>
      <c r="D9" s="266"/>
      <c r="E9" s="266"/>
      <c r="F9" s="266"/>
      <c r="G9" s="266"/>
      <c r="H9" s="266"/>
      <c r="I9" s="258" t="s">
        <v>228</v>
      </c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62"/>
      <c r="U9" s="263"/>
      <c r="V9" s="263"/>
      <c r="W9" s="263"/>
      <c r="X9" s="264"/>
      <c r="Z9" s="169" t="s">
        <v>198</v>
      </c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1"/>
    </row>
    <row r="10" spans="2:41" ht="18" customHeight="1">
      <c r="B10" s="54">
        <v>3</v>
      </c>
      <c r="C10" s="266" t="s">
        <v>7</v>
      </c>
      <c r="D10" s="266"/>
      <c r="E10" s="266"/>
      <c r="F10" s="266"/>
      <c r="G10" s="266"/>
      <c r="H10" s="266"/>
      <c r="I10" s="258" t="s">
        <v>229</v>
      </c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62"/>
      <c r="U10" s="263"/>
      <c r="V10" s="263"/>
      <c r="W10" s="263"/>
      <c r="X10" s="264"/>
      <c r="Z10" s="169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1"/>
    </row>
    <row r="11" spans="2:41" ht="18" customHeight="1">
      <c r="B11" s="54">
        <v>4</v>
      </c>
      <c r="C11" s="266" t="s">
        <v>11</v>
      </c>
      <c r="D11" s="266"/>
      <c r="E11" s="266"/>
      <c r="F11" s="266"/>
      <c r="G11" s="266"/>
      <c r="H11" s="266"/>
      <c r="I11" s="258" t="s">
        <v>230</v>
      </c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62"/>
      <c r="U11" s="263"/>
      <c r="V11" s="263"/>
      <c r="W11" s="263"/>
      <c r="X11" s="264"/>
      <c r="Z11" s="169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1"/>
    </row>
    <row r="12" spans="2:41" ht="18" customHeight="1">
      <c r="B12" s="54">
        <v>5</v>
      </c>
      <c r="C12" s="266" t="s">
        <v>25</v>
      </c>
      <c r="D12" s="266"/>
      <c r="E12" s="266"/>
      <c r="F12" s="266"/>
      <c r="G12" s="266"/>
      <c r="H12" s="266"/>
      <c r="I12" s="258" t="s">
        <v>231</v>
      </c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62"/>
      <c r="U12" s="263"/>
      <c r="V12" s="263"/>
      <c r="W12" s="263"/>
      <c r="X12" s="264"/>
      <c r="Z12" s="169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1"/>
    </row>
    <row r="13" spans="2:41" ht="18" customHeight="1">
      <c r="B13" s="54">
        <v>6</v>
      </c>
      <c r="C13" s="266" t="s">
        <v>6</v>
      </c>
      <c r="D13" s="266"/>
      <c r="E13" s="266"/>
      <c r="F13" s="266"/>
      <c r="G13" s="266"/>
      <c r="H13" s="266"/>
      <c r="I13" s="258" t="s">
        <v>232</v>
      </c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62"/>
      <c r="U13" s="263"/>
      <c r="V13" s="263"/>
      <c r="W13" s="263"/>
      <c r="X13" s="264"/>
      <c r="Z13" s="169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1"/>
    </row>
    <row r="14" spans="2:41" ht="18" customHeight="1">
      <c r="B14" s="54">
        <v>7</v>
      </c>
      <c r="C14" s="266" t="s">
        <v>37</v>
      </c>
      <c r="D14" s="266"/>
      <c r="E14" s="266"/>
      <c r="F14" s="266"/>
      <c r="G14" s="266"/>
      <c r="H14" s="266"/>
      <c r="I14" s="258" t="s">
        <v>233</v>
      </c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62"/>
      <c r="U14" s="263"/>
      <c r="V14" s="263"/>
      <c r="W14" s="263"/>
      <c r="X14" s="264"/>
      <c r="Z14" s="169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1"/>
    </row>
    <row r="15" spans="2:41" ht="18" customHeight="1">
      <c r="B15" s="54">
        <v>8</v>
      </c>
      <c r="C15" s="266" t="s">
        <v>12</v>
      </c>
      <c r="D15" s="266"/>
      <c r="E15" s="266"/>
      <c r="F15" s="266"/>
      <c r="G15" s="266"/>
      <c r="H15" s="266"/>
      <c r="I15" s="258" t="s">
        <v>234</v>
      </c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62"/>
      <c r="U15" s="263"/>
      <c r="V15" s="263"/>
      <c r="W15" s="263"/>
      <c r="X15" s="264"/>
      <c r="Z15" s="169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1"/>
    </row>
    <row r="16" spans="2:41" ht="18" customHeight="1">
      <c r="B16" s="54">
        <v>9</v>
      </c>
      <c r="C16" s="266" t="s">
        <v>26</v>
      </c>
      <c r="D16" s="266"/>
      <c r="E16" s="266"/>
      <c r="F16" s="266"/>
      <c r="G16" s="266"/>
      <c r="H16" s="266"/>
      <c r="I16" s="351">
        <v>196730578</v>
      </c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62"/>
      <c r="U16" s="263"/>
      <c r="V16" s="263"/>
      <c r="W16" s="263"/>
      <c r="X16" s="264"/>
      <c r="Z16" s="169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1"/>
    </row>
    <row r="17" spans="2:45" ht="18" customHeight="1">
      <c r="B17" s="54">
        <v>10</v>
      </c>
      <c r="C17" s="266" t="s">
        <v>27</v>
      </c>
      <c r="D17" s="266"/>
      <c r="E17" s="266"/>
      <c r="F17" s="266"/>
      <c r="G17" s="266"/>
      <c r="H17" s="266"/>
      <c r="I17" s="258" t="s">
        <v>235</v>
      </c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62"/>
      <c r="U17" s="263"/>
      <c r="V17" s="263"/>
      <c r="W17" s="263"/>
      <c r="X17" s="264"/>
      <c r="Z17" s="169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1"/>
    </row>
    <row r="18" spans="2:45" ht="18" customHeight="1" thickBot="1">
      <c r="B18" s="55">
        <v>11</v>
      </c>
      <c r="C18" s="279" t="s">
        <v>44</v>
      </c>
      <c r="D18" s="279"/>
      <c r="E18" s="279"/>
      <c r="F18" s="279"/>
      <c r="G18" s="279"/>
      <c r="H18" s="279"/>
      <c r="I18" s="280" t="s">
        <v>236</v>
      </c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65"/>
      <c r="U18" s="173"/>
      <c r="V18" s="173"/>
      <c r="W18" s="173"/>
      <c r="X18" s="174"/>
      <c r="Z18" s="172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4"/>
    </row>
    <row r="20" spans="2:45" ht="18" customHeight="1" thickBot="1">
      <c r="B20" s="59" t="s">
        <v>217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</row>
    <row r="21" spans="2:45" customFormat="1" ht="5.0999999999999996" customHeight="1" thickBot="1">
      <c r="B21" s="56"/>
    </row>
    <row r="22" spans="2:45" ht="18" customHeight="1" thickBot="1">
      <c r="B22" s="61" t="s">
        <v>98</v>
      </c>
      <c r="C22" s="251" t="s">
        <v>8</v>
      </c>
      <c r="D22" s="251"/>
      <c r="E22" s="251"/>
      <c r="F22" s="251" t="s">
        <v>45</v>
      </c>
      <c r="G22" s="251"/>
      <c r="H22" s="251"/>
      <c r="I22" s="251"/>
      <c r="J22" s="251"/>
      <c r="K22" s="251"/>
      <c r="L22" s="251"/>
      <c r="M22" s="251"/>
      <c r="N22" s="251"/>
      <c r="O22" s="63" t="s">
        <v>99</v>
      </c>
      <c r="P22" s="281" t="s">
        <v>103</v>
      </c>
      <c r="Q22" s="282"/>
      <c r="R22" s="283"/>
      <c r="S22" s="281" t="s">
        <v>3</v>
      </c>
      <c r="T22" s="282"/>
      <c r="U22" s="282"/>
      <c r="V22" s="282"/>
      <c r="W22" s="282"/>
      <c r="X22" s="282"/>
      <c r="Y22" s="282"/>
      <c r="Z22" s="282"/>
      <c r="AA22" s="282"/>
      <c r="AB22" s="283"/>
      <c r="AC22" s="281" t="s">
        <v>113</v>
      </c>
      <c r="AD22" s="282"/>
      <c r="AE22" s="282"/>
      <c r="AF22" s="282"/>
      <c r="AG22" s="282"/>
      <c r="AH22" s="283"/>
      <c r="AI22" s="297" t="s">
        <v>109</v>
      </c>
      <c r="AJ22" s="297"/>
      <c r="AK22" s="297"/>
      <c r="AL22" s="297"/>
      <c r="AM22" s="297"/>
      <c r="AN22" s="297"/>
      <c r="AO22" s="298"/>
    </row>
    <row r="23" spans="2:45" ht="42" customHeight="1" thickTop="1">
      <c r="B23" s="66">
        <v>1</v>
      </c>
      <c r="C23" s="237" t="s">
        <v>97</v>
      </c>
      <c r="D23" s="267"/>
      <c r="E23" s="238"/>
      <c r="F23" s="269" t="s">
        <v>30</v>
      </c>
      <c r="G23" s="269"/>
      <c r="H23" s="269"/>
      <c r="I23" s="269"/>
      <c r="J23" s="269"/>
      <c r="K23" s="269"/>
      <c r="L23" s="269"/>
      <c r="M23" s="269"/>
      <c r="N23" s="269"/>
      <c r="O23" s="46" t="s">
        <v>28</v>
      </c>
      <c r="P23" s="270" t="s">
        <v>35</v>
      </c>
      <c r="Q23" s="271"/>
      <c r="R23" s="272"/>
      <c r="S23" s="354" t="s">
        <v>242</v>
      </c>
      <c r="T23" s="352"/>
      <c r="U23" s="352"/>
      <c r="V23" s="352"/>
      <c r="W23" s="352"/>
      <c r="X23" s="352"/>
      <c r="Y23" s="352"/>
      <c r="Z23" s="352"/>
      <c r="AA23" s="352"/>
      <c r="AB23" s="353"/>
      <c r="AC23" s="284"/>
      <c r="AD23" s="285"/>
      <c r="AE23" s="285"/>
      <c r="AF23" s="285"/>
      <c r="AG23" s="285"/>
      <c r="AH23" s="286"/>
      <c r="AI23" s="273"/>
      <c r="AJ23" s="273"/>
      <c r="AK23" s="273"/>
      <c r="AL23" s="273"/>
      <c r="AM23" s="273"/>
      <c r="AN23" s="273"/>
      <c r="AO23" s="274"/>
      <c r="AS23" s="79"/>
    </row>
    <row r="24" spans="2:45" ht="42" customHeight="1">
      <c r="B24" s="67">
        <v>2</v>
      </c>
      <c r="C24" s="237"/>
      <c r="D24" s="267"/>
      <c r="E24" s="238"/>
      <c r="F24" s="275" t="s">
        <v>102</v>
      </c>
      <c r="G24" s="275"/>
      <c r="H24" s="275"/>
      <c r="I24" s="275"/>
      <c r="J24" s="275"/>
      <c r="K24" s="275"/>
      <c r="L24" s="275"/>
      <c r="M24" s="275"/>
      <c r="N24" s="275"/>
      <c r="O24" s="46" t="s">
        <v>28</v>
      </c>
      <c r="P24" s="276" t="s">
        <v>239</v>
      </c>
      <c r="Q24" s="277"/>
      <c r="R24" s="278"/>
      <c r="S24" s="357" t="s">
        <v>237</v>
      </c>
      <c r="T24" s="355"/>
      <c r="U24" s="355"/>
      <c r="V24" s="355"/>
      <c r="W24" s="355"/>
      <c r="X24" s="355"/>
      <c r="Y24" s="355"/>
      <c r="Z24" s="355"/>
      <c r="AA24" s="355"/>
      <c r="AB24" s="356"/>
      <c r="AC24" s="287"/>
      <c r="AD24" s="288"/>
      <c r="AE24" s="288"/>
      <c r="AF24" s="288"/>
      <c r="AG24" s="288"/>
      <c r="AH24" s="289"/>
      <c r="AI24" s="156"/>
      <c r="AJ24" s="156"/>
      <c r="AK24" s="156"/>
      <c r="AL24" s="156"/>
      <c r="AM24" s="156"/>
      <c r="AN24" s="156"/>
      <c r="AO24" s="296"/>
      <c r="AS24" s="79"/>
    </row>
    <row r="25" spans="2:45" ht="42" customHeight="1">
      <c r="B25" s="67">
        <v>3</v>
      </c>
      <c r="C25" s="237"/>
      <c r="D25" s="267"/>
      <c r="E25" s="238"/>
      <c r="F25" s="275" t="s">
        <v>38</v>
      </c>
      <c r="G25" s="275"/>
      <c r="H25" s="275"/>
      <c r="I25" s="275"/>
      <c r="J25" s="275"/>
      <c r="K25" s="275"/>
      <c r="L25" s="275"/>
      <c r="M25" s="275"/>
      <c r="N25" s="275"/>
      <c r="O25" s="47" t="s">
        <v>29</v>
      </c>
      <c r="P25" s="276" t="s">
        <v>240</v>
      </c>
      <c r="Q25" s="277"/>
      <c r="R25" s="278"/>
      <c r="S25" s="293"/>
      <c r="T25" s="294"/>
      <c r="U25" s="294"/>
      <c r="V25" s="294"/>
      <c r="W25" s="294"/>
      <c r="X25" s="294"/>
      <c r="Y25" s="294"/>
      <c r="Z25" s="294"/>
      <c r="AA25" s="294"/>
      <c r="AB25" s="295"/>
      <c r="AC25" s="287"/>
      <c r="AD25" s="288"/>
      <c r="AE25" s="288"/>
      <c r="AF25" s="288"/>
      <c r="AG25" s="288"/>
      <c r="AH25" s="289"/>
      <c r="AI25" s="156"/>
      <c r="AJ25" s="156"/>
      <c r="AK25" s="156"/>
      <c r="AL25" s="156"/>
      <c r="AM25" s="156"/>
      <c r="AN25" s="156"/>
      <c r="AO25" s="296"/>
      <c r="AS25" s="79"/>
    </row>
    <row r="26" spans="2:45" ht="42" customHeight="1">
      <c r="B26" s="67">
        <v>4</v>
      </c>
      <c r="C26" s="237"/>
      <c r="D26" s="267"/>
      <c r="E26" s="238"/>
      <c r="F26" s="299" t="s">
        <v>33</v>
      </c>
      <c r="G26" s="299"/>
      <c r="H26" s="299"/>
      <c r="I26" s="299"/>
      <c r="J26" s="299"/>
      <c r="K26" s="299"/>
      <c r="L26" s="299"/>
      <c r="M26" s="299"/>
      <c r="N26" s="299"/>
      <c r="O26" s="47" t="s">
        <v>29</v>
      </c>
      <c r="P26" s="276" t="s">
        <v>240</v>
      </c>
      <c r="Q26" s="277"/>
      <c r="R26" s="278"/>
      <c r="S26" s="293"/>
      <c r="T26" s="294"/>
      <c r="U26" s="294"/>
      <c r="V26" s="294"/>
      <c r="W26" s="294"/>
      <c r="X26" s="294"/>
      <c r="Y26" s="294"/>
      <c r="Z26" s="294"/>
      <c r="AA26" s="294"/>
      <c r="AB26" s="295"/>
      <c r="AC26" s="287"/>
      <c r="AD26" s="288"/>
      <c r="AE26" s="288"/>
      <c r="AF26" s="288"/>
      <c r="AG26" s="288"/>
      <c r="AH26" s="289"/>
      <c r="AI26" s="156"/>
      <c r="AJ26" s="156"/>
      <c r="AK26" s="156"/>
      <c r="AL26" s="156"/>
      <c r="AM26" s="156"/>
      <c r="AN26" s="156"/>
      <c r="AO26" s="296"/>
      <c r="AS26" s="79"/>
    </row>
    <row r="27" spans="2:45" ht="42" customHeight="1">
      <c r="B27" s="67">
        <v>5</v>
      </c>
      <c r="C27" s="237"/>
      <c r="D27" s="267"/>
      <c r="E27" s="238"/>
      <c r="F27" s="299" t="s">
        <v>34</v>
      </c>
      <c r="G27" s="299"/>
      <c r="H27" s="299"/>
      <c r="I27" s="299"/>
      <c r="J27" s="299"/>
      <c r="K27" s="299"/>
      <c r="L27" s="299"/>
      <c r="M27" s="299"/>
      <c r="N27" s="299"/>
      <c r="O27" s="46" t="s">
        <v>28</v>
      </c>
      <c r="P27" s="276" t="s">
        <v>9</v>
      </c>
      <c r="Q27" s="277"/>
      <c r="R27" s="278"/>
      <c r="S27" s="293"/>
      <c r="T27" s="294"/>
      <c r="U27" s="294"/>
      <c r="V27" s="294"/>
      <c r="W27" s="294"/>
      <c r="X27" s="294"/>
      <c r="Y27" s="294"/>
      <c r="Z27" s="294"/>
      <c r="AA27" s="294"/>
      <c r="AB27" s="295"/>
      <c r="AC27" s="290"/>
      <c r="AD27" s="291"/>
      <c r="AE27" s="291"/>
      <c r="AF27" s="291"/>
      <c r="AG27" s="291"/>
      <c r="AH27" s="292"/>
      <c r="AI27" s="156"/>
      <c r="AJ27" s="156"/>
      <c r="AK27" s="156"/>
      <c r="AL27" s="156"/>
      <c r="AM27" s="156"/>
      <c r="AN27" s="156"/>
      <c r="AO27" s="296"/>
      <c r="AS27" s="79"/>
    </row>
    <row r="28" spans="2:45" ht="42" customHeight="1">
      <c r="B28" s="67">
        <v>6</v>
      </c>
      <c r="C28" s="237"/>
      <c r="D28" s="267"/>
      <c r="E28" s="238"/>
      <c r="F28" s="299" t="s">
        <v>104</v>
      </c>
      <c r="G28" s="299"/>
      <c r="H28" s="299"/>
      <c r="I28" s="299"/>
      <c r="J28" s="299"/>
      <c r="K28" s="299"/>
      <c r="L28" s="299"/>
      <c r="M28" s="299"/>
      <c r="N28" s="299"/>
      <c r="O28" s="47" t="s">
        <v>28</v>
      </c>
      <c r="P28" s="276" t="s">
        <v>239</v>
      </c>
      <c r="Q28" s="277"/>
      <c r="R28" s="278"/>
      <c r="S28" s="293"/>
      <c r="T28" s="294"/>
      <c r="U28" s="294"/>
      <c r="V28" s="294"/>
      <c r="W28" s="294"/>
      <c r="X28" s="294"/>
      <c r="Y28" s="294"/>
      <c r="Z28" s="294"/>
      <c r="AA28" s="294"/>
      <c r="AB28" s="295"/>
      <c r="AC28" s="290"/>
      <c r="AD28" s="291"/>
      <c r="AE28" s="291"/>
      <c r="AF28" s="291"/>
      <c r="AG28" s="291"/>
      <c r="AH28" s="292"/>
      <c r="AI28" s="156"/>
      <c r="AJ28" s="156"/>
      <c r="AK28" s="156"/>
      <c r="AL28" s="156"/>
      <c r="AM28" s="156"/>
      <c r="AN28" s="156"/>
      <c r="AO28" s="296"/>
      <c r="AS28" s="79"/>
    </row>
    <row r="29" spans="2:45" ht="42" customHeight="1">
      <c r="B29" s="67">
        <v>7</v>
      </c>
      <c r="C29" s="237"/>
      <c r="D29" s="267"/>
      <c r="E29" s="238"/>
      <c r="F29" s="299" t="s">
        <v>100</v>
      </c>
      <c r="G29" s="299"/>
      <c r="H29" s="299"/>
      <c r="I29" s="299"/>
      <c r="J29" s="299"/>
      <c r="K29" s="299"/>
      <c r="L29" s="299"/>
      <c r="M29" s="299"/>
      <c r="N29" s="299"/>
      <c r="O29" s="47" t="s">
        <v>29</v>
      </c>
      <c r="P29" s="276" t="s">
        <v>240</v>
      </c>
      <c r="Q29" s="277"/>
      <c r="R29" s="278"/>
      <c r="S29" s="293"/>
      <c r="T29" s="294"/>
      <c r="U29" s="294"/>
      <c r="V29" s="294"/>
      <c r="W29" s="294"/>
      <c r="X29" s="294"/>
      <c r="Y29" s="294"/>
      <c r="Z29" s="294"/>
      <c r="AA29" s="294"/>
      <c r="AB29" s="295"/>
      <c r="AC29" s="290"/>
      <c r="AD29" s="291"/>
      <c r="AE29" s="291"/>
      <c r="AF29" s="291"/>
      <c r="AG29" s="291"/>
      <c r="AH29" s="292"/>
      <c r="AI29" s="156"/>
      <c r="AJ29" s="156"/>
      <c r="AK29" s="156"/>
      <c r="AL29" s="156"/>
      <c r="AM29" s="156"/>
      <c r="AN29" s="156"/>
      <c r="AO29" s="296"/>
      <c r="AS29" s="79"/>
    </row>
    <row r="30" spans="2:45" ht="42" customHeight="1">
      <c r="B30" s="67">
        <v>8</v>
      </c>
      <c r="C30" s="237"/>
      <c r="D30" s="267"/>
      <c r="E30" s="238"/>
      <c r="F30" s="299" t="s">
        <v>105</v>
      </c>
      <c r="G30" s="299"/>
      <c r="H30" s="299"/>
      <c r="I30" s="299"/>
      <c r="J30" s="299"/>
      <c r="K30" s="299"/>
      <c r="L30" s="299"/>
      <c r="M30" s="299"/>
      <c r="N30" s="299"/>
      <c r="O30" s="47" t="s">
        <v>29</v>
      </c>
      <c r="P30" s="276" t="s">
        <v>9</v>
      </c>
      <c r="Q30" s="277"/>
      <c r="R30" s="278"/>
      <c r="S30" s="300"/>
      <c r="T30" s="294"/>
      <c r="U30" s="294"/>
      <c r="V30" s="294"/>
      <c r="W30" s="294"/>
      <c r="X30" s="294"/>
      <c r="Y30" s="294"/>
      <c r="Z30" s="294"/>
      <c r="AA30" s="294"/>
      <c r="AB30" s="295"/>
      <c r="AC30" s="290"/>
      <c r="AD30" s="291"/>
      <c r="AE30" s="291"/>
      <c r="AF30" s="291"/>
      <c r="AG30" s="291"/>
      <c r="AH30" s="292"/>
      <c r="AI30" s="156"/>
      <c r="AJ30" s="156"/>
      <c r="AK30" s="156"/>
      <c r="AL30" s="156"/>
      <c r="AM30" s="156"/>
      <c r="AN30" s="156"/>
      <c r="AO30" s="296"/>
      <c r="AS30" s="80"/>
    </row>
    <row r="31" spans="2:45" ht="42" customHeight="1">
      <c r="B31" s="67">
        <v>9</v>
      </c>
      <c r="C31" s="237"/>
      <c r="D31" s="267"/>
      <c r="E31" s="238"/>
      <c r="F31" s="299" t="s">
        <v>106</v>
      </c>
      <c r="G31" s="299"/>
      <c r="H31" s="299"/>
      <c r="I31" s="299"/>
      <c r="J31" s="299"/>
      <c r="K31" s="299"/>
      <c r="L31" s="299"/>
      <c r="M31" s="299"/>
      <c r="N31" s="299"/>
      <c r="O31" s="47" t="s">
        <v>29</v>
      </c>
      <c r="P31" s="276" t="s">
        <v>10</v>
      </c>
      <c r="Q31" s="277"/>
      <c r="R31" s="278"/>
      <c r="S31" s="300"/>
      <c r="T31" s="294"/>
      <c r="U31" s="294"/>
      <c r="V31" s="294"/>
      <c r="W31" s="294"/>
      <c r="X31" s="294"/>
      <c r="Y31" s="294"/>
      <c r="Z31" s="294"/>
      <c r="AA31" s="294"/>
      <c r="AB31" s="295"/>
      <c r="AC31" s="290"/>
      <c r="AD31" s="291"/>
      <c r="AE31" s="291"/>
      <c r="AF31" s="291"/>
      <c r="AG31" s="291"/>
      <c r="AH31" s="292"/>
      <c r="AI31" s="156"/>
      <c r="AJ31" s="156"/>
      <c r="AK31" s="156"/>
      <c r="AL31" s="156"/>
      <c r="AM31" s="156"/>
      <c r="AN31" s="156"/>
      <c r="AO31" s="296"/>
      <c r="AS31" s="80"/>
    </row>
    <row r="32" spans="2:45" ht="42" customHeight="1">
      <c r="B32" s="67">
        <v>10</v>
      </c>
      <c r="C32" s="237"/>
      <c r="D32" s="267"/>
      <c r="E32" s="238"/>
      <c r="F32" s="299" t="s">
        <v>107</v>
      </c>
      <c r="G32" s="299"/>
      <c r="H32" s="299"/>
      <c r="I32" s="299"/>
      <c r="J32" s="299"/>
      <c r="K32" s="299"/>
      <c r="L32" s="299"/>
      <c r="M32" s="299"/>
      <c r="N32" s="299"/>
      <c r="O32" s="47" t="s">
        <v>29</v>
      </c>
      <c r="P32" s="276" t="s">
        <v>35</v>
      </c>
      <c r="Q32" s="277"/>
      <c r="R32" s="278"/>
      <c r="S32" s="300"/>
      <c r="T32" s="294"/>
      <c r="U32" s="294"/>
      <c r="V32" s="294"/>
      <c r="W32" s="294"/>
      <c r="X32" s="294"/>
      <c r="Y32" s="294"/>
      <c r="Z32" s="294"/>
      <c r="AA32" s="294"/>
      <c r="AB32" s="295"/>
      <c r="AC32" s="290"/>
      <c r="AD32" s="291"/>
      <c r="AE32" s="291"/>
      <c r="AF32" s="291"/>
      <c r="AG32" s="291"/>
      <c r="AH32" s="292"/>
      <c r="AI32" s="156"/>
      <c r="AJ32" s="156"/>
      <c r="AK32" s="156"/>
      <c r="AL32" s="156"/>
      <c r="AM32" s="156"/>
      <c r="AN32" s="156"/>
      <c r="AO32" s="296"/>
      <c r="AS32" s="80"/>
    </row>
    <row r="33" spans="2:45" ht="42" customHeight="1">
      <c r="B33" s="67">
        <v>11</v>
      </c>
      <c r="C33" s="237"/>
      <c r="D33" s="267"/>
      <c r="E33" s="238"/>
      <c r="F33" s="299" t="s">
        <v>108</v>
      </c>
      <c r="G33" s="299"/>
      <c r="H33" s="299"/>
      <c r="I33" s="299"/>
      <c r="J33" s="299"/>
      <c r="K33" s="299"/>
      <c r="L33" s="299"/>
      <c r="M33" s="299"/>
      <c r="N33" s="299"/>
      <c r="O33" s="47" t="s">
        <v>28</v>
      </c>
      <c r="P33" s="276" t="s">
        <v>239</v>
      </c>
      <c r="Q33" s="277"/>
      <c r="R33" s="278"/>
      <c r="S33" s="300"/>
      <c r="T33" s="294"/>
      <c r="U33" s="294"/>
      <c r="V33" s="294"/>
      <c r="W33" s="294"/>
      <c r="X33" s="294"/>
      <c r="Y33" s="294"/>
      <c r="Z33" s="294"/>
      <c r="AA33" s="294"/>
      <c r="AB33" s="295"/>
      <c r="AC33" s="290"/>
      <c r="AD33" s="291"/>
      <c r="AE33" s="291"/>
      <c r="AF33" s="291"/>
      <c r="AG33" s="291"/>
      <c r="AH33" s="292"/>
      <c r="AI33" s="156"/>
      <c r="AJ33" s="156"/>
      <c r="AK33" s="156"/>
      <c r="AL33" s="156"/>
      <c r="AM33" s="156"/>
      <c r="AN33" s="156"/>
      <c r="AO33" s="296"/>
      <c r="AS33" s="80"/>
    </row>
    <row r="34" spans="2:45" ht="42" customHeight="1">
      <c r="B34" s="67">
        <v>12</v>
      </c>
      <c r="C34" s="237"/>
      <c r="D34" s="267"/>
      <c r="E34" s="238"/>
      <c r="F34" s="299" t="s">
        <v>238</v>
      </c>
      <c r="G34" s="299"/>
      <c r="H34" s="299"/>
      <c r="I34" s="299"/>
      <c r="J34" s="299"/>
      <c r="K34" s="299"/>
      <c r="L34" s="299"/>
      <c r="M34" s="299"/>
      <c r="N34" s="299"/>
      <c r="O34" s="47" t="s">
        <v>29</v>
      </c>
      <c r="P34" s="276" t="s">
        <v>239</v>
      </c>
      <c r="Q34" s="277"/>
      <c r="R34" s="278"/>
      <c r="S34" s="293"/>
      <c r="T34" s="294"/>
      <c r="U34" s="294"/>
      <c r="V34" s="294"/>
      <c r="W34" s="294"/>
      <c r="X34" s="294"/>
      <c r="Y34" s="294"/>
      <c r="Z34" s="294"/>
      <c r="AA34" s="294"/>
      <c r="AB34" s="295"/>
      <c r="AC34" s="290"/>
      <c r="AD34" s="291"/>
      <c r="AE34" s="291"/>
      <c r="AF34" s="291"/>
      <c r="AG34" s="291"/>
      <c r="AH34" s="292"/>
      <c r="AI34" s="156"/>
      <c r="AJ34" s="156"/>
      <c r="AK34" s="156"/>
      <c r="AL34" s="156"/>
      <c r="AM34" s="156"/>
      <c r="AN34" s="156"/>
      <c r="AO34" s="296"/>
      <c r="AS34" s="79"/>
    </row>
    <row r="35" spans="2:45" ht="42" customHeight="1">
      <c r="B35" s="67">
        <v>13</v>
      </c>
      <c r="C35" s="237"/>
      <c r="D35" s="267"/>
      <c r="E35" s="238"/>
      <c r="F35" s="299" t="s">
        <v>101</v>
      </c>
      <c r="G35" s="299"/>
      <c r="H35" s="299"/>
      <c r="I35" s="299"/>
      <c r="J35" s="299"/>
      <c r="K35" s="299"/>
      <c r="L35" s="299"/>
      <c r="M35" s="299"/>
      <c r="N35" s="299"/>
      <c r="O35" s="47" t="s">
        <v>28</v>
      </c>
      <c r="P35" s="276" t="s">
        <v>239</v>
      </c>
      <c r="Q35" s="277"/>
      <c r="R35" s="278"/>
      <c r="S35" s="293"/>
      <c r="T35" s="294"/>
      <c r="U35" s="294"/>
      <c r="V35" s="294"/>
      <c r="W35" s="294"/>
      <c r="X35" s="294"/>
      <c r="Y35" s="294"/>
      <c r="Z35" s="294"/>
      <c r="AA35" s="294"/>
      <c r="AB35" s="295"/>
      <c r="AC35" s="290"/>
      <c r="AD35" s="291"/>
      <c r="AE35" s="291"/>
      <c r="AF35" s="291"/>
      <c r="AG35" s="291"/>
      <c r="AH35" s="292"/>
      <c r="AI35" s="156"/>
      <c r="AJ35" s="156"/>
      <c r="AK35" s="156"/>
      <c r="AL35" s="156"/>
      <c r="AM35" s="156"/>
      <c r="AN35" s="156"/>
      <c r="AO35" s="296"/>
      <c r="AS35" s="79"/>
    </row>
    <row r="36" spans="2:45" ht="42" customHeight="1">
      <c r="B36" s="67">
        <v>14</v>
      </c>
      <c r="C36" s="237"/>
      <c r="D36" s="267"/>
      <c r="E36" s="238"/>
      <c r="F36" s="299" t="s">
        <v>32</v>
      </c>
      <c r="G36" s="299"/>
      <c r="H36" s="299"/>
      <c r="I36" s="299"/>
      <c r="J36" s="299"/>
      <c r="K36" s="299"/>
      <c r="L36" s="299"/>
      <c r="M36" s="299"/>
      <c r="N36" s="299"/>
      <c r="O36" s="47" t="s">
        <v>28</v>
      </c>
      <c r="P36" s="276" t="s">
        <v>239</v>
      </c>
      <c r="Q36" s="277"/>
      <c r="R36" s="278"/>
      <c r="S36" s="300"/>
      <c r="T36" s="294"/>
      <c r="U36" s="294"/>
      <c r="V36" s="294"/>
      <c r="W36" s="294"/>
      <c r="X36" s="294"/>
      <c r="Y36" s="294"/>
      <c r="Z36" s="294"/>
      <c r="AA36" s="294"/>
      <c r="AB36" s="295"/>
      <c r="AC36" s="290"/>
      <c r="AD36" s="291"/>
      <c r="AE36" s="291"/>
      <c r="AF36" s="291"/>
      <c r="AG36" s="291"/>
      <c r="AH36" s="292"/>
      <c r="AI36" s="156"/>
      <c r="AJ36" s="156"/>
      <c r="AK36" s="156"/>
      <c r="AL36" s="156"/>
      <c r="AM36" s="156"/>
      <c r="AN36" s="156"/>
      <c r="AO36" s="296"/>
      <c r="AS36" s="80"/>
    </row>
    <row r="37" spans="2:45" ht="42" customHeight="1">
      <c r="B37" s="67">
        <v>15</v>
      </c>
      <c r="C37" s="237"/>
      <c r="D37" s="267"/>
      <c r="E37" s="238"/>
      <c r="F37" s="299" t="s">
        <v>31</v>
      </c>
      <c r="G37" s="299"/>
      <c r="H37" s="299"/>
      <c r="I37" s="299"/>
      <c r="J37" s="299"/>
      <c r="K37" s="299"/>
      <c r="L37" s="299"/>
      <c r="M37" s="299"/>
      <c r="N37" s="299"/>
      <c r="O37" s="47" t="s">
        <v>28</v>
      </c>
      <c r="P37" s="276" t="s">
        <v>239</v>
      </c>
      <c r="Q37" s="277"/>
      <c r="R37" s="278"/>
      <c r="S37" s="301"/>
      <c r="T37" s="302"/>
      <c r="U37" s="302"/>
      <c r="V37" s="302"/>
      <c r="W37" s="302"/>
      <c r="X37" s="302"/>
      <c r="Y37" s="302"/>
      <c r="Z37" s="302"/>
      <c r="AA37" s="302"/>
      <c r="AB37" s="303"/>
      <c r="AC37" s="290"/>
      <c r="AD37" s="291"/>
      <c r="AE37" s="291"/>
      <c r="AF37" s="291"/>
      <c r="AG37" s="291"/>
      <c r="AH37" s="292"/>
      <c r="AI37" s="156"/>
      <c r="AJ37" s="156"/>
      <c r="AK37" s="156"/>
      <c r="AL37" s="156"/>
      <c r="AM37" s="156"/>
      <c r="AN37" s="156"/>
      <c r="AO37" s="296"/>
    </row>
    <row r="38" spans="2:45" ht="42" customHeight="1">
      <c r="B38" s="67">
        <v>16</v>
      </c>
      <c r="C38" s="237"/>
      <c r="D38" s="267"/>
      <c r="E38" s="238"/>
      <c r="F38" s="299" t="s">
        <v>241</v>
      </c>
      <c r="G38" s="299"/>
      <c r="H38" s="299"/>
      <c r="I38" s="299"/>
      <c r="J38" s="299"/>
      <c r="K38" s="299"/>
      <c r="L38" s="299"/>
      <c r="M38" s="299"/>
      <c r="N38" s="299"/>
      <c r="O38" s="47" t="s">
        <v>28</v>
      </c>
      <c r="P38" s="276" t="s">
        <v>35</v>
      </c>
      <c r="Q38" s="277"/>
      <c r="R38" s="278"/>
      <c r="S38" s="301"/>
      <c r="T38" s="302"/>
      <c r="U38" s="302"/>
      <c r="V38" s="302"/>
      <c r="W38" s="302"/>
      <c r="X38" s="302"/>
      <c r="Y38" s="302"/>
      <c r="Z38" s="302"/>
      <c r="AA38" s="302"/>
      <c r="AB38" s="303"/>
      <c r="AC38" s="290"/>
      <c r="AD38" s="291"/>
      <c r="AE38" s="291"/>
      <c r="AF38" s="291"/>
      <c r="AG38" s="291"/>
      <c r="AH38" s="292"/>
      <c r="AI38" s="156"/>
      <c r="AJ38" s="156"/>
      <c r="AK38" s="156"/>
      <c r="AL38" s="156"/>
      <c r="AM38" s="156"/>
      <c r="AN38" s="156"/>
      <c r="AO38" s="296"/>
    </row>
    <row r="39" spans="2:45" ht="42" customHeight="1">
      <c r="B39" s="67">
        <v>17</v>
      </c>
      <c r="C39" s="205"/>
      <c r="D39" s="268"/>
      <c r="E39" s="206"/>
      <c r="F39" s="299" t="s">
        <v>43</v>
      </c>
      <c r="G39" s="299"/>
      <c r="H39" s="299"/>
      <c r="I39" s="299"/>
      <c r="J39" s="299"/>
      <c r="K39" s="299"/>
      <c r="L39" s="299"/>
      <c r="M39" s="299"/>
      <c r="N39" s="299"/>
      <c r="O39" s="47" t="s">
        <v>29</v>
      </c>
      <c r="P39" s="276" t="s">
        <v>35</v>
      </c>
      <c r="Q39" s="277"/>
      <c r="R39" s="278"/>
      <c r="S39" s="293"/>
      <c r="T39" s="294"/>
      <c r="U39" s="294"/>
      <c r="V39" s="294"/>
      <c r="W39" s="294"/>
      <c r="X39" s="294"/>
      <c r="Y39" s="294"/>
      <c r="Z39" s="294"/>
      <c r="AA39" s="294"/>
      <c r="AB39" s="295"/>
      <c r="AC39" s="290"/>
      <c r="AD39" s="291"/>
      <c r="AE39" s="291"/>
      <c r="AF39" s="291"/>
      <c r="AG39" s="291"/>
      <c r="AH39" s="292"/>
      <c r="AI39" s="156"/>
      <c r="AJ39" s="156"/>
      <c r="AK39" s="156"/>
      <c r="AL39" s="156"/>
      <c r="AM39" s="156"/>
      <c r="AN39" s="156"/>
      <c r="AO39" s="296"/>
    </row>
    <row r="40" spans="2:45" ht="42" customHeight="1">
      <c r="B40" s="67">
        <v>18</v>
      </c>
      <c r="C40" s="209" t="s">
        <v>114</v>
      </c>
      <c r="D40" s="309"/>
      <c r="E40" s="210"/>
      <c r="F40" s="311" t="s">
        <v>112</v>
      </c>
      <c r="G40" s="311"/>
      <c r="H40" s="311"/>
      <c r="I40" s="311"/>
      <c r="J40" s="311"/>
      <c r="K40" s="311"/>
      <c r="L40" s="311"/>
      <c r="M40" s="311"/>
      <c r="N40" s="311"/>
      <c r="O40" s="47" t="s">
        <v>29</v>
      </c>
      <c r="P40" s="276"/>
      <c r="Q40" s="277"/>
      <c r="R40" s="278"/>
      <c r="S40" s="301"/>
      <c r="T40" s="302"/>
      <c r="U40" s="302"/>
      <c r="V40" s="302"/>
      <c r="W40" s="302"/>
      <c r="X40" s="302"/>
      <c r="Y40" s="302"/>
      <c r="Z40" s="302"/>
      <c r="AA40" s="302"/>
      <c r="AB40" s="303"/>
      <c r="AC40" s="290"/>
      <c r="AD40" s="291"/>
      <c r="AE40" s="291"/>
      <c r="AF40" s="291"/>
      <c r="AG40" s="291"/>
      <c r="AH40" s="292"/>
      <c r="AI40" s="156"/>
      <c r="AJ40" s="156"/>
      <c r="AK40" s="156"/>
      <c r="AL40" s="156"/>
      <c r="AM40" s="156"/>
      <c r="AN40" s="156"/>
      <c r="AO40" s="296"/>
    </row>
    <row r="41" spans="2:45" ht="42" customHeight="1">
      <c r="B41" s="67">
        <v>19</v>
      </c>
      <c r="C41" s="237"/>
      <c r="D41" s="267"/>
      <c r="E41" s="238"/>
      <c r="F41" s="311" t="s">
        <v>110</v>
      </c>
      <c r="G41" s="311"/>
      <c r="H41" s="311"/>
      <c r="I41" s="311"/>
      <c r="J41" s="311"/>
      <c r="K41" s="311"/>
      <c r="L41" s="311"/>
      <c r="M41" s="311"/>
      <c r="N41" s="311"/>
      <c r="O41" s="47" t="s">
        <v>28</v>
      </c>
      <c r="P41" s="276"/>
      <c r="Q41" s="277"/>
      <c r="R41" s="278"/>
      <c r="S41" s="301"/>
      <c r="T41" s="302"/>
      <c r="U41" s="302"/>
      <c r="V41" s="302"/>
      <c r="W41" s="302"/>
      <c r="X41" s="302"/>
      <c r="Y41" s="302"/>
      <c r="Z41" s="302"/>
      <c r="AA41" s="302"/>
      <c r="AB41" s="303"/>
      <c r="AC41" s="312"/>
      <c r="AD41" s="313"/>
      <c r="AE41" s="313"/>
      <c r="AF41" s="313"/>
      <c r="AG41" s="313"/>
      <c r="AH41" s="314"/>
      <c r="AI41" s="156"/>
      <c r="AJ41" s="156"/>
      <c r="AK41" s="156"/>
      <c r="AL41" s="156"/>
      <c r="AM41" s="156"/>
      <c r="AN41" s="156"/>
      <c r="AO41" s="296"/>
    </row>
    <row r="42" spans="2:45" ht="42" customHeight="1" thickBot="1">
      <c r="B42" s="68">
        <v>20</v>
      </c>
      <c r="C42" s="211"/>
      <c r="D42" s="310"/>
      <c r="E42" s="212"/>
      <c r="F42" s="304" t="s">
        <v>111</v>
      </c>
      <c r="G42" s="304"/>
      <c r="H42" s="304"/>
      <c r="I42" s="304"/>
      <c r="J42" s="304"/>
      <c r="K42" s="304"/>
      <c r="L42" s="304"/>
      <c r="M42" s="304"/>
      <c r="N42" s="304"/>
      <c r="O42" s="60" t="s">
        <v>29</v>
      </c>
      <c r="P42" s="305"/>
      <c r="Q42" s="306"/>
      <c r="R42" s="307"/>
      <c r="S42" s="76"/>
      <c r="T42" s="77"/>
      <c r="U42" s="77"/>
      <c r="V42" s="77"/>
      <c r="W42" s="77"/>
      <c r="X42" s="77"/>
      <c r="Y42" s="77"/>
      <c r="Z42" s="77"/>
      <c r="AA42" s="77"/>
      <c r="AB42" s="78"/>
      <c r="AC42" s="315"/>
      <c r="AD42" s="316"/>
      <c r="AE42" s="316"/>
      <c r="AF42" s="316"/>
      <c r="AG42" s="316"/>
      <c r="AH42" s="317"/>
      <c r="AI42" s="183"/>
      <c r="AJ42" s="183"/>
      <c r="AK42" s="183"/>
      <c r="AL42" s="183"/>
      <c r="AM42" s="183"/>
      <c r="AN42" s="183"/>
      <c r="AO42" s="308"/>
    </row>
    <row r="43" spans="2:45" ht="18" customHeight="1">
      <c r="B43" s="62"/>
    </row>
    <row r="44" spans="2:45" ht="18" customHeight="1" thickBot="1">
      <c r="B44" s="64" t="s">
        <v>218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</row>
    <row r="45" spans="2:45" ht="5.0999999999999996" customHeight="1" thickBot="1"/>
    <row r="46" spans="2:45" ht="18" customHeight="1" thickBot="1">
      <c r="B46" s="61" t="s">
        <v>0</v>
      </c>
      <c r="C46" s="297" t="s">
        <v>8</v>
      </c>
      <c r="D46" s="297"/>
      <c r="E46" s="297"/>
      <c r="F46" s="281" t="s">
        <v>2</v>
      </c>
      <c r="G46" s="282"/>
      <c r="H46" s="282"/>
      <c r="I46" s="282"/>
      <c r="J46" s="282"/>
      <c r="K46" s="282"/>
      <c r="L46" s="282"/>
      <c r="M46" s="282"/>
      <c r="N46" s="282"/>
      <c r="O46" s="283"/>
      <c r="P46" s="281" t="s">
        <v>3</v>
      </c>
      <c r="Q46" s="282"/>
      <c r="R46" s="282"/>
      <c r="S46" s="282"/>
      <c r="T46" s="282"/>
      <c r="U46" s="282"/>
      <c r="V46" s="282"/>
      <c r="W46" s="282"/>
      <c r="X46" s="282"/>
      <c r="Y46" s="283"/>
      <c r="Z46" s="297" t="s">
        <v>86</v>
      </c>
      <c r="AA46" s="297"/>
      <c r="AB46" s="297"/>
      <c r="AC46" s="297"/>
      <c r="AD46" s="297"/>
      <c r="AE46" s="297"/>
      <c r="AF46" s="297"/>
      <c r="AG46" s="297"/>
      <c r="AH46" s="297"/>
      <c r="AI46" s="297"/>
      <c r="AJ46" s="297" t="s">
        <v>1</v>
      </c>
      <c r="AK46" s="297"/>
      <c r="AL46" s="297"/>
      <c r="AM46" s="297"/>
      <c r="AN46" s="297"/>
      <c r="AO46" s="298"/>
    </row>
    <row r="47" spans="2:45" ht="42.6" customHeight="1" thickTop="1">
      <c r="B47" s="66">
        <v>1</v>
      </c>
      <c r="C47" s="237" t="s">
        <v>115</v>
      </c>
      <c r="D47" s="267"/>
      <c r="E47" s="238"/>
      <c r="F47" s="318" t="s">
        <v>116</v>
      </c>
      <c r="G47" s="319"/>
      <c r="H47" s="319"/>
      <c r="I47" s="319"/>
      <c r="J47" s="319"/>
      <c r="K47" s="319"/>
      <c r="L47" s="319"/>
      <c r="M47" s="319"/>
      <c r="N47" s="319"/>
      <c r="O47" s="320"/>
      <c r="P47" s="321" t="s">
        <v>243</v>
      </c>
      <c r="Q47" s="321"/>
      <c r="R47" s="321"/>
      <c r="S47" s="321"/>
      <c r="T47" s="321"/>
      <c r="U47" s="321"/>
      <c r="V47" s="321"/>
      <c r="W47" s="321"/>
      <c r="X47" s="321"/>
      <c r="Y47" s="321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322" t="s">
        <v>170</v>
      </c>
      <c r="AK47" s="323"/>
      <c r="AL47" s="323"/>
      <c r="AM47" s="323"/>
      <c r="AN47" s="323"/>
      <c r="AO47" s="324"/>
    </row>
    <row r="48" spans="2:45" ht="42.6" customHeight="1">
      <c r="B48" s="67">
        <v>2</v>
      </c>
      <c r="C48" s="205"/>
      <c r="D48" s="268"/>
      <c r="E48" s="206"/>
      <c r="F48" s="213" t="s">
        <v>117</v>
      </c>
      <c r="G48" s="214"/>
      <c r="H48" s="214"/>
      <c r="I48" s="214"/>
      <c r="J48" s="214"/>
      <c r="K48" s="214"/>
      <c r="L48" s="214"/>
      <c r="M48" s="214"/>
      <c r="N48" s="214"/>
      <c r="O48" s="215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222"/>
      <c r="AK48" s="222"/>
      <c r="AL48" s="222"/>
      <c r="AM48" s="222"/>
      <c r="AN48" s="222"/>
      <c r="AO48" s="223"/>
    </row>
    <row r="49" spans="2:41" ht="42.6" customHeight="1">
      <c r="B49" s="67">
        <v>3</v>
      </c>
      <c r="C49" s="209" t="s">
        <v>48</v>
      </c>
      <c r="D49" s="309"/>
      <c r="E49" s="210"/>
      <c r="F49" s="213" t="s">
        <v>39</v>
      </c>
      <c r="G49" s="214"/>
      <c r="H49" s="214"/>
      <c r="I49" s="214"/>
      <c r="J49" s="214"/>
      <c r="K49" s="214"/>
      <c r="L49" s="214"/>
      <c r="M49" s="214"/>
      <c r="N49" s="214"/>
      <c r="O49" s="215"/>
      <c r="P49" s="258" t="s">
        <v>243</v>
      </c>
      <c r="Q49" s="258"/>
      <c r="R49" s="258"/>
      <c r="S49" s="258"/>
      <c r="T49" s="258"/>
      <c r="U49" s="258"/>
      <c r="V49" s="258"/>
      <c r="W49" s="258"/>
      <c r="X49" s="258"/>
      <c r="Y49" s="258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326" t="s">
        <v>171</v>
      </c>
      <c r="AK49" s="222"/>
      <c r="AL49" s="222"/>
      <c r="AM49" s="222"/>
      <c r="AN49" s="222"/>
      <c r="AO49" s="223"/>
    </row>
    <row r="50" spans="2:41" ht="42.6" customHeight="1">
      <c r="B50" s="67">
        <v>4</v>
      </c>
      <c r="C50" s="237"/>
      <c r="D50" s="267"/>
      <c r="E50" s="238"/>
      <c r="F50" s="213" t="s">
        <v>40</v>
      </c>
      <c r="G50" s="214"/>
      <c r="H50" s="214"/>
      <c r="I50" s="214"/>
      <c r="J50" s="214"/>
      <c r="K50" s="214"/>
      <c r="L50" s="214"/>
      <c r="M50" s="214"/>
      <c r="N50" s="214"/>
      <c r="O50" s="215"/>
      <c r="P50" s="258"/>
      <c r="Q50" s="258"/>
      <c r="R50" s="258"/>
      <c r="S50" s="258"/>
      <c r="T50" s="258"/>
      <c r="U50" s="258"/>
      <c r="V50" s="258"/>
      <c r="W50" s="258"/>
      <c r="X50" s="258"/>
      <c r="Y50" s="258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222"/>
      <c r="AK50" s="222"/>
      <c r="AL50" s="222"/>
      <c r="AM50" s="222"/>
      <c r="AN50" s="222"/>
      <c r="AO50" s="223"/>
    </row>
    <row r="51" spans="2:41" ht="42.6" customHeight="1">
      <c r="B51" s="67">
        <v>5</v>
      </c>
      <c r="C51" s="205"/>
      <c r="D51" s="268"/>
      <c r="E51" s="206"/>
      <c r="F51" s="213" t="s">
        <v>118</v>
      </c>
      <c r="G51" s="214"/>
      <c r="H51" s="214"/>
      <c r="I51" s="214"/>
      <c r="J51" s="214"/>
      <c r="K51" s="214"/>
      <c r="L51" s="214"/>
      <c r="M51" s="214"/>
      <c r="N51" s="214"/>
      <c r="O51" s="215"/>
      <c r="P51" s="258" t="s">
        <v>244</v>
      </c>
      <c r="Q51" s="258"/>
      <c r="R51" s="258"/>
      <c r="S51" s="258"/>
      <c r="T51" s="258"/>
      <c r="U51" s="258"/>
      <c r="V51" s="258"/>
      <c r="W51" s="258"/>
      <c r="X51" s="258"/>
      <c r="Y51" s="258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222"/>
      <c r="AK51" s="222"/>
      <c r="AL51" s="222"/>
      <c r="AM51" s="222"/>
      <c r="AN51" s="222"/>
      <c r="AO51" s="223"/>
    </row>
    <row r="52" spans="2:41" ht="42.6" customHeight="1">
      <c r="B52" s="67">
        <v>6</v>
      </c>
      <c r="C52" s="325" t="s">
        <v>42</v>
      </c>
      <c r="D52" s="325"/>
      <c r="E52" s="325"/>
      <c r="F52" s="213" t="s">
        <v>119</v>
      </c>
      <c r="G52" s="214"/>
      <c r="H52" s="214"/>
      <c r="I52" s="214"/>
      <c r="J52" s="214"/>
      <c r="K52" s="214"/>
      <c r="L52" s="214"/>
      <c r="M52" s="214"/>
      <c r="N52" s="214"/>
      <c r="O52" s="215"/>
      <c r="P52" s="258" t="s">
        <v>245</v>
      </c>
      <c r="Q52" s="258"/>
      <c r="R52" s="258"/>
      <c r="S52" s="258"/>
      <c r="T52" s="258"/>
      <c r="U52" s="258"/>
      <c r="V52" s="258"/>
      <c r="W52" s="258"/>
      <c r="X52" s="258"/>
      <c r="Y52" s="258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222"/>
      <c r="AK52" s="222"/>
      <c r="AL52" s="222"/>
      <c r="AM52" s="222"/>
      <c r="AN52" s="222"/>
      <c r="AO52" s="223"/>
    </row>
    <row r="53" spans="2:41" ht="42.6" customHeight="1">
      <c r="B53" s="67">
        <v>7</v>
      </c>
      <c r="C53" s="325"/>
      <c r="D53" s="325"/>
      <c r="E53" s="325"/>
      <c r="F53" s="213" t="s">
        <v>120</v>
      </c>
      <c r="G53" s="214"/>
      <c r="H53" s="214"/>
      <c r="I53" s="214"/>
      <c r="J53" s="214"/>
      <c r="K53" s="214"/>
      <c r="L53" s="214"/>
      <c r="M53" s="214"/>
      <c r="N53" s="214"/>
      <c r="O53" s="215"/>
      <c r="P53" s="258" t="s">
        <v>247</v>
      </c>
      <c r="Q53" s="258"/>
      <c r="R53" s="258"/>
      <c r="S53" s="258"/>
      <c r="T53" s="258"/>
      <c r="U53" s="258"/>
      <c r="V53" s="258"/>
      <c r="W53" s="258"/>
      <c r="X53" s="258"/>
      <c r="Y53" s="258"/>
      <c r="Z53" s="156" t="s">
        <v>254</v>
      </c>
      <c r="AA53" s="156"/>
      <c r="AB53" s="156"/>
      <c r="AC53" s="156"/>
      <c r="AD53" s="156"/>
      <c r="AE53" s="156"/>
      <c r="AF53" s="156"/>
      <c r="AG53" s="156"/>
      <c r="AH53" s="156"/>
      <c r="AI53" s="156"/>
      <c r="AJ53" s="222"/>
      <c r="AK53" s="222"/>
      <c r="AL53" s="222"/>
      <c r="AM53" s="222"/>
      <c r="AN53" s="222"/>
      <c r="AO53" s="223"/>
    </row>
    <row r="54" spans="2:41" ht="42.6" customHeight="1">
      <c r="B54" s="67">
        <v>8</v>
      </c>
      <c r="C54" s="325"/>
      <c r="D54" s="325"/>
      <c r="E54" s="325"/>
      <c r="F54" s="213" t="s">
        <v>121</v>
      </c>
      <c r="G54" s="214"/>
      <c r="H54" s="214"/>
      <c r="I54" s="214"/>
      <c r="J54" s="214"/>
      <c r="K54" s="214"/>
      <c r="L54" s="214"/>
      <c r="M54" s="214"/>
      <c r="N54" s="214"/>
      <c r="O54" s="215"/>
      <c r="P54" s="258" t="s">
        <v>246</v>
      </c>
      <c r="Q54" s="258"/>
      <c r="R54" s="258"/>
      <c r="S54" s="258"/>
      <c r="T54" s="258"/>
      <c r="U54" s="258"/>
      <c r="V54" s="258"/>
      <c r="W54" s="258"/>
      <c r="X54" s="258"/>
      <c r="Y54" s="258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222"/>
      <c r="AK54" s="222"/>
      <c r="AL54" s="222"/>
      <c r="AM54" s="222"/>
      <c r="AN54" s="222"/>
      <c r="AO54" s="223"/>
    </row>
    <row r="55" spans="2:41" ht="60" customHeight="1">
      <c r="B55" s="67">
        <v>9</v>
      </c>
      <c r="C55" s="325"/>
      <c r="D55" s="325"/>
      <c r="E55" s="325"/>
      <c r="F55" s="213" t="s">
        <v>122</v>
      </c>
      <c r="G55" s="214"/>
      <c r="H55" s="214"/>
      <c r="I55" s="214"/>
      <c r="J55" s="214"/>
      <c r="K55" s="214"/>
      <c r="L55" s="214"/>
      <c r="M55" s="214"/>
      <c r="N55" s="214"/>
      <c r="O55" s="215"/>
      <c r="P55" s="258" t="s">
        <v>253</v>
      </c>
      <c r="Q55" s="258"/>
      <c r="R55" s="258"/>
      <c r="S55" s="258"/>
      <c r="T55" s="258"/>
      <c r="U55" s="258"/>
      <c r="V55" s="258"/>
      <c r="W55" s="258"/>
      <c r="X55" s="258"/>
      <c r="Y55" s="258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222"/>
      <c r="AK55" s="222"/>
      <c r="AL55" s="222"/>
      <c r="AM55" s="222"/>
      <c r="AN55" s="222"/>
      <c r="AO55" s="223"/>
    </row>
    <row r="56" spans="2:41" ht="42.6" customHeight="1">
      <c r="B56" s="67">
        <v>10</v>
      </c>
      <c r="C56" s="325"/>
      <c r="D56" s="325"/>
      <c r="E56" s="325"/>
      <c r="F56" s="213" t="s">
        <v>123</v>
      </c>
      <c r="G56" s="214"/>
      <c r="H56" s="214"/>
      <c r="I56" s="214"/>
      <c r="J56" s="214"/>
      <c r="K56" s="214"/>
      <c r="L56" s="214"/>
      <c r="M56" s="214"/>
      <c r="N56" s="214"/>
      <c r="O56" s="215"/>
      <c r="P56" s="258" t="s">
        <v>248</v>
      </c>
      <c r="Q56" s="258"/>
      <c r="R56" s="258"/>
      <c r="S56" s="258"/>
      <c r="T56" s="258"/>
      <c r="U56" s="258"/>
      <c r="V56" s="258"/>
      <c r="W56" s="258"/>
      <c r="X56" s="258"/>
      <c r="Y56" s="258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222"/>
      <c r="AK56" s="222"/>
      <c r="AL56" s="222"/>
      <c r="AM56" s="222"/>
      <c r="AN56" s="222"/>
      <c r="AO56" s="223"/>
    </row>
    <row r="57" spans="2:41" ht="42.6" customHeight="1">
      <c r="B57" s="67">
        <v>11</v>
      </c>
      <c r="C57" s="327" t="s">
        <v>127</v>
      </c>
      <c r="D57" s="325"/>
      <c r="E57" s="325"/>
      <c r="F57" s="156" t="s">
        <v>13</v>
      </c>
      <c r="G57" s="156"/>
      <c r="H57" s="156"/>
      <c r="I57" s="156"/>
      <c r="J57" s="156"/>
      <c r="K57" s="156"/>
      <c r="L57" s="156"/>
      <c r="M57" s="156"/>
      <c r="N57" s="156"/>
      <c r="O57" s="156"/>
      <c r="P57" s="258" t="s">
        <v>249</v>
      </c>
      <c r="Q57" s="258"/>
      <c r="R57" s="258"/>
      <c r="S57" s="258"/>
      <c r="T57" s="258"/>
      <c r="U57" s="258"/>
      <c r="V57" s="258"/>
      <c r="W57" s="258"/>
      <c r="X57" s="258"/>
      <c r="Y57" s="258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222"/>
      <c r="AK57" s="222"/>
      <c r="AL57" s="222"/>
      <c r="AM57" s="222"/>
      <c r="AN57" s="222"/>
      <c r="AO57" s="223"/>
    </row>
    <row r="58" spans="2:41" ht="42.6" customHeight="1">
      <c r="B58" s="67">
        <v>12</v>
      </c>
      <c r="C58" s="325"/>
      <c r="D58" s="325"/>
      <c r="E58" s="325"/>
      <c r="F58" s="156" t="s">
        <v>124</v>
      </c>
      <c r="G58" s="156"/>
      <c r="H58" s="156"/>
      <c r="I58" s="156"/>
      <c r="J58" s="156"/>
      <c r="K58" s="156"/>
      <c r="L58" s="156"/>
      <c r="M58" s="156"/>
      <c r="N58" s="156"/>
      <c r="O58" s="156"/>
      <c r="P58" s="258" t="s">
        <v>250</v>
      </c>
      <c r="Q58" s="258"/>
      <c r="R58" s="258"/>
      <c r="S58" s="258"/>
      <c r="T58" s="258"/>
      <c r="U58" s="258"/>
      <c r="V58" s="258"/>
      <c r="W58" s="258"/>
      <c r="X58" s="258"/>
      <c r="Y58" s="258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222"/>
      <c r="AK58" s="222"/>
      <c r="AL58" s="222"/>
      <c r="AM58" s="222"/>
      <c r="AN58" s="222"/>
      <c r="AO58" s="223"/>
    </row>
    <row r="59" spans="2:41" ht="42.6" customHeight="1">
      <c r="B59" s="67">
        <v>13</v>
      </c>
      <c r="C59" s="325"/>
      <c r="D59" s="325"/>
      <c r="E59" s="325"/>
      <c r="F59" s="156" t="s">
        <v>125</v>
      </c>
      <c r="G59" s="156"/>
      <c r="H59" s="156"/>
      <c r="I59" s="156"/>
      <c r="J59" s="156"/>
      <c r="K59" s="156"/>
      <c r="L59" s="156"/>
      <c r="M59" s="156"/>
      <c r="N59" s="156"/>
      <c r="O59" s="156"/>
      <c r="P59" s="258" t="s">
        <v>243</v>
      </c>
      <c r="Q59" s="258"/>
      <c r="R59" s="258"/>
      <c r="S59" s="258"/>
      <c r="T59" s="258"/>
      <c r="U59" s="258"/>
      <c r="V59" s="258"/>
      <c r="W59" s="258"/>
      <c r="X59" s="258"/>
      <c r="Y59" s="258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222"/>
      <c r="AK59" s="222"/>
      <c r="AL59" s="222"/>
      <c r="AM59" s="222"/>
      <c r="AN59" s="222"/>
      <c r="AO59" s="223"/>
    </row>
    <row r="60" spans="2:41" ht="42.6" customHeight="1">
      <c r="B60" s="67">
        <v>14</v>
      </c>
      <c r="C60" s="325"/>
      <c r="D60" s="325"/>
      <c r="E60" s="325"/>
      <c r="F60" s="156" t="s">
        <v>41</v>
      </c>
      <c r="G60" s="156"/>
      <c r="H60" s="156"/>
      <c r="I60" s="156"/>
      <c r="J60" s="156"/>
      <c r="K60" s="156"/>
      <c r="L60" s="156"/>
      <c r="M60" s="156"/>
      <c r="N60" s="156"/>
      <c r="O60" s="156"/>
      <c r="P60" s="258" t="s">
        <v>251</v>
      </c>
      <c r="Q60" s="258"/>
      <c r="R60" s="258"/>
      <c r="S60" s="258"/>
      <c r="T60" s="258"/>
      <c r="U60" s="258"/>
      <c r="V60" s="258"/>
      <c r="W60" s="258"/>
      <c r="X60" s="258"/>
      <c r="Y60" s="258"/>
      <c r="Z60" s="156" t="s">
        <v>252</v>
      </c>
      <c r="AA60" s="156"/>
      <c r="AB60" s="156"/>
      <c r="AC60" s="156"/>
      <c r="AD60" s="156"/>
      <c r="AE60" s="156"/>
      <c r="AF60" s="156"/>
      <c r="AG60" s="156"/>
      <c r="AH60" s="156"/>
      <c r="AI60" s="156"/>
      <c r="AJ60" s="222"/>
      <c r="AK60" s="222"/>
      <c r="AL60" s="222"/>
      <c r="AM60" s="222"/>
      <c r="AN60" s="222"/>
      <c r="AO60" s="223"/>
    </row>
    <row r="61" spans="2:41" ht="42.6" customHeight="1" thickBot="1">
      <c r="B61" s="68">
        <v>15</v>
      </c>
      <c r="C61" s="328"/>
      <c r="D61" s="328"/>
      <c r="E61" s="328"/>
      <c r="F61" s="183" t="s">
        <v>126</v>
      </c>
      <c r="G61" s="183"/>
      <c r="H61" s="183"/>
      <c r="I61" s="183"/>
      <c r="J61" s="183"/>
      <c r="K61" s="183"/>
      <c r="L61" s="183"/>
      <c r="M61" s="183"/>
      <c r="N61" s="183"/>
      <c r="O61" s="183"/>
      <c r="P61" s="280" t="s">
        <v>243</v>
      </c>
      <c r="Q61" s="280"/>
      <c r="R61" s="280"/>
      <c r="S61" s="280"/>
      <c r="T61" s="280"/>
      <c r="U61" s="280"/>
      <c r="V61" s="280"/>
      <c r="W61" s="280"/>
      <c r="X61" s="280"/>
      <c r="Y61" s="280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4"/>
      <c r="AK61" s="184"/>
      <c r="AL61" s="184"/>
      <c r="AM61" s="184"/>
      <c r="AN61" s="184"/>
      <c r="AO61" s="185"/>
    </row>
    <row r="63" spans="2:41" ht="18" customHeight="1" thickBot="1">
      <c r="B63" s="64" t="s">
        <v>219</v>
      </c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</row>
    <row r="64" spans="2:41" ht="5.0999999999999996" customHeight="1" thickBot="1"/>
    <row r="65" spans="2:46" ht="18" customHeight="1" thickBot="1">
      <c r="B65" s="84" t="s">
        <v>0</v>
      </c>
      <c r="C65" s="329" t="s">
        <v>8</v>
      </c>
      <c r="D65" s="329"/>
      <c r="E65" s="329"/>
      <c r="F65" s="329"/>
      <c r="G65" s="329" t="s">
        <v>174</v>
      </c>
      <c r="H65" s="329"/>
      <c r="I65" s="329" t="s">
        <v>175</v>
      </c>
      <c r="J65" s="329"/>
      <c r="K65" s="329"/>
      <c r="L65" s="329" t="s">
        <v>3</v>
      </c>
      <c r="M65" s="329"/>
      <c r="N65" s="329"/>
      <c r="O65" s="329"/>
      <c r="P65" s="329"/>
      <c r="Q65" s="329"/>
      <c r="R65" s="329"/>
      <c r="S65" s="329"/>
      <c r="T65" s="329" t="s">
        <v>154</v>
      </c>
      <c r="U65" s="329"/>
      <c r="V65" s="329"/>
      <c r="W65" s="329"/>
      <c r="X65" s="329"/>
      <c r="Y65" s="329"/>
      <c r="Z65" s="329"/>
      <c r="AA65" s="329"/>
      <c r="AB65" s="329"/>
      <c r="AC65" s="329"/>
      <c r="AD65" s="329"/>
      <c r="AE65" s="329" t="s">
        <v>86</v>
      </c>
      <c r="AF65" s="329"/>
      <c r="AG65" s="329"/>
      <c r="AH65" s="329"/>
      <c r="AI65" s="329"/>
      <c r="AJ65" s="329"/>
      <c r="AK65" s="329"/>
      <c r="AL65" s="329"/>
      <c r="AM65" s="329" t="s">
        <v>1</v>
      </c>
      <c r="AN65" s="329"/>
      <c r="AO65" s="330"/>
      <c r="AR65" s="83"/>
      <c r="AS65" s="83"/>
      <c r="AT65" s="83"/>
    </row>
    <row r="66" spans="2:46" ht="42.6" customHeight="1" thickTop="1" thickBot="1">
      <c r="B66" s="189" t="s">
        <v>167</v>
      </c>
      <c r="C66" s="190"/>
      <c r="D66" s="190"/>
      <c r="E66" s="190"/>
      <c r="F66" s="190"/>
      <c r="G66" s="191">
        <f>SUM(G67:H132)</f>
        <v>13.600000000000001</v>
      </c>
      <c r="H66" s="190"/>
      <c r="I66" s="153" t="s">
        <v>168</v>
      </c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92" t="s">
        <v>279</v>
      </c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53"/>
      <c r="AF66" s="153"/>
      <c r="AG66" s="153"/>
      <c r="AH66" s="153"/>
      <c r="AI66" s="153"/>
      <c r="AJ66" s="153"/>
      <c r="AK66" s="153"/>
      <c r="AL66" s="153"/>
      <c r="AM66" s="154"/>
      <c r="AN66" s="154"/>
      <c r="AO66" s="155"/>
    </row>
    <row r="67" spans="2:46" ht="42.6" customHeight="1" thickBot="1">
      <c r="B67" s="65">
        <v>1</v>
      </c>
      <c r="C67" s="211" t="s">
        <v>129</v>
      </c>
      <c r="D67" s="310"/>
      <c r="E67" s="310"/>
      <c r="F67" s="212"/>
      <c r="G67" s="334">
        <v>2</v>
      </c>
      <c r="H67" s="334"/>
      <c r="I67" s="374" t="s">
        <v>255</v>
      </c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  <c r="AB67" s="375"/>
      <c r="AC67" s="375"/>
      <c r="AD67" s="376"/>
      <c r="AE67" s="153"/>
      <c r="AF67" s="153"/>
      <c r="AG67" s="153"/>
      <c r="AH67" s="153"/>
      <c r="AI67" s="153"/>
      <c r="AJ67" s="153"/>
      <c r="AK67" s="153"/>
      <c r="AL67" s="153"/>
      <c r="AM67" s="154"/>
      <c r="AN67" s="154"/>
      <c r="AO67" s="155"/>
      <c r="AR67" s="82"/>
      <c r="AS67" s="81"/>
      <c r="AT67" s="81"/>
    </row>
    <row r="68" spans="2:46" ht="42.6" customHeight="1">
      <c r="B68" s="160">
        <v>2</v>
      </c>
      <c r="C68" s="203" t="s">
        <v>14</v>
      </c>
      <c r="D68" s="358"/>
      <c r="E68" s="358"/>
      <c r="F68" s="204"/>
      <c r="G68" s="196">
        <v>0.75</v>
      </c>
      <c r="H68" s="197"/>
      <c r="I68" s="224" t="s">
        <v>260</v>
      </c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  <c r="AB68" s="225"/>
      <c r="AC68" s="225"/>
      <c r="AD68" s="226"/>
      <c r="AE68" s="180"/>
      <c r="AF68" s="180"/>
      <c r="AG68" s="180"/>
      <c r="AH68" s="180"/>
      <c r="AI68" s="180"/>
      <c r="AJ68" s="180"/>
      <c r="AK68" s="180"/>
      <c r="AL68" s="180"/>
      <c r="AM68" s="181"/>
      <c r="AN68" s="181"/>
      <c r="AO68" s="182"/>
      <c r="AR68" s="82"/>
      <c r="AS68" s="81"/>
      <c r="AT68" s="81"/>
    </row>
    <row r="69" spans="2:46" ht="42.6" customHeight="1">
      <c r="B69" s="161"/>
      <c r="C69" s="237"/>
      <c r="D69" s="267"/>
      <c r="E69" s="267"/>
      <c r="F69" s="238"/>
      <c r="G69" s="198"/>
      <c r="H69" s="199"/>
      <c r="I69" s="156" t="s">
        <v>130</v>
      </c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377" t="s">
        <v>261</v>
      </c>
      <c r="U69" s="378"/>
      <c r="V69" s="378"/>
      <c r="W69" s="378"/>
      <c r="X69" s="378"/>
      <c r="Y69" s="378"/>
      <c r="Z69" s="378"/>
      <c r="AA69" s="378"/>
      <c r="AB69" s="378"/>
      <c r="AC69" s="378"/>
      <c r="AD69" s="379"/>
      <c r="AE69" s="156"/>
      <c r="AF69" s="156"/>
      <c r="AG69" s="156"/>
      <c r="AH69" s="156"/>
      <c r="AI69" s="156"/>
      <c r="AJ69" s="156"/>
      <c r="AK69" s="156"/>
      <c r="AL69" s="156"/>
      <c r="AM69" s="222"/>
      <c r="AN69" s="222"/>
      <c r="AO69" s="223"/>
      <c r="AR69" s="82"/>
      <c r="AS69" s="82"/>
      <c r="AT69" s="82"/>
    </row>
    <row r="70" spans="2:46" ht="42.6" customHeight="1">
      <c r="B70" s="161"/>
      <c r="C70" s="237"/>
      <c r="D70" s="267"/>
      <c r="E70" s="267"/>
      <c r="F70" s="238"/>
      <c r="G70" s="198"/>
      <c r="H70" s="199"/>
      <c r="I70" s="156" t="s">
        <v>131</v>
      </c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227" t="s">
        <v>256</v>
      </c>
      <c r="U70" s="228"/>
      <c r="V70" s="228"/>
      <c r="W70" s="228"/>
      <c r="X70" s="228"/>
      <c r="Y70" s="228"/>
      <c r="Z70" s="228"/>
      <c r="AA70" s="228"/>
      <c r="AB70" s="228"/>
      <c r="AC70" s="228"/>
      <c r="AD70" s="229"/>
      <c r="AE70" s="156"/>
      <c r="AF70" s="156"/>
      <c r="AG70" s="156"/>
      <c r="AH70" s="156"/>
      <c r="AI70" s="156"/>
      <c r="AJ70" s="156"/>
      <c r="AK70" s="156"/>
      <c r="AL70" s="156"/>
      <c r="AM70" s="222"/>
      <c r="AN70" s="222"/>
      <c r="AO70" s="223"/>
      <c r="AR70" s="82"/>
      <c r="AS70" s="82"/>
      <c r="AT70" s="82"/>
    </row>
    <row r="71" spans="2:46" ht="42.6" customHeight="1">
      <c r="B71" s="161"/>
      <c r="C71" s="237"/>
      <c r="D71" s="267"/>
      <c r="E71" s="267"/>
      <c r="F71" s="238"/>
      <c r="G71" s="198"/>
      <c r="H71" s="199"/>
      <c r="I71" s="156" t="s">
        <v>132</v>
      </c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230" t="s">
        <v>259</v>
      </c>
      <c r="U71" s="380"/>
      <c r="V71" s="380"/>
      <c r="W71" s="380"/>
      <c r="X71" s="380"/>
      <c r="Y71" s="380"/>
      <c r="Z71" s="380"/>
      <c r="AA71" s="380"/>
      <c r="AB71" s="380"/>
      <c r="AC71" s="380"/>
      <c r="AD71" s="381"/>
      <c r="AE71" s="156"/>
      <c r="AF71" s="156"/>
      <c r="AG71" s="156"/>
      <c r="AH71" s="156"/>
      <c r="AI71" s="156"/>
      <c r="AJ71" s="156"/>
      <c r="AK71" s="156"/>
      <c r="AL71" s="156"/>
      <c r="AM71" s="222"/>
      <c r="AN71" s="222"/>
      <c r="AO71" s="223"/>
      <c r="AR71" s="82"/>
      <c r="AS71" s="82"/>
      <c r="AT71" s="82"/>
    </row>
    <row r="72" spans="2:46" ht="42.6" customHeight="1">
      <c r="B72" s="161"/>
      <c r="C72" s="237"/>
      <c r="D72" s="267"/>
      <c r="E72" s="267"/>
      <c r="F72" s="238"/>
      <c r="G72" s="198"/>
      <c r="H72" s="199"/>
      <c r="I72" s="156" t="s">
        <v>133</v>
      </c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227" t="s">
        <v>258</v>
      </c>
      <c r="U72" s="228"/>
      <c r="V72" s="228"/>
      <c r="W72" s="228"/>
      <c r="X72" s="228"/>
      <c r="Y72" s="228"/>
      <c r="Z72" s="228"/>
      <c r="AA72" s="228"/>
      <c r="AB72" s="228"/>
      <c r="AC72" s="228"/>
      <c r="AD72" s="229"/>
      <c r="AE72" s="156"/>
      <c r="AF72" s="156"/>
      <c r="AG72" s="156"/>
      <c r="AH72" s="156"/>
      <c r="AI72" s="156"/>
      <c r="AJ72" s="156"/>
      <c r="AK72" s="156"/>
      <c r="AL72" s="156"/>
      <c r="AM72" s="222"/>
      <c r="AN72" s="222"/>
      <c r="AO72" s="223"/>
      <c r="AR72" s="82"/>
      <c r="AS72" s="82"/>
      <c r="AT72" s="82"/>
    </row>
    <row r="73" spans="2:46" ht="42.6" customHeight="1">
      <c r="B73" s="161"/>
      <c r="C73" s="237"/>
      <c r="D73" s="267"/>
      <c r="E73" s="267"/>
      <c r="F73" s="238"/>
      <c r="G73" s="198"/>
      <c r="H73" s="199"/>
      <c r="I73" s="156" t="s">
        <v>134</v>
      </c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382" t="s">
        <v>257</v>
      </c>
      <c r="U73" s="382"/>
      <c r="V73" s="382"/>
      <c r="W73" s="382"/>
      <c r="X73" s="382"/>
      <c r="Y73" s="382"/>
      <c r="Z73" s="382"/>
      <c r="AA73" s="382"/>
      <c r="AB73" s="382"/>
      <c r="AC73" s="382"/>
      <c r="AD73" s="382"/>
      <c r="AE73" s="156"/>
      <c r="AF73" s="156"/>
      <c r="AG73" s="156"/>
      <c r="AH73" s="156"/>
      <c r="AI73" s="156"/>
      <c r="AJ73" s="156"/>
      <c r="AK73" s="156"/>
      <c r="AL73" s="156"/>
      <c r="AM73" s="222"/>
      <c r="AN73" s="222"/>
      <c r="AO73" s="223"/>
      <c r="AR73" s="82"/>
      <c r="AS73" s="82"/>
      <c r="AT73" s="82"/>
    </row>
    <row r="74" spans="2:46" ht="42.6" customHeight="1" thickBot="1">
      <c r="B74" s="162"/>
      <c r="C74" s="211"/>
      <c r="D74" s="310"/>
      <c r="E74" s="310"/>
      <c r="F74" s="212"/>
      <c r="G74" s="200"/>
      <c r="H74" s="179"/>
      <c r="I74" s="183" t="s">
        <v>135</v>
      </c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374" t="s">
        <v>257</v>
      </c>
      <c r="U74" s="383"/>
      <c r="V74" s="383"/>
      <c r="W74" s="383"/>
      <c r="X74" s="383"/>
      <c r="Y74" s="383"/>
      <c r="Z74" s="383"/>
      <c r="AA74" s="383"/>
      <c r="AB74" s="383"/>
      <c r="AC74" s="383"/>
      <c r="AD74" s="384"/>
      <c r="AE74" s="183"/>
      <c r="AF74" s="183"/>
      <c r="AG74" s="183"/>
      <c r="AH74" s="183"/>
      <c r="AI74" s="183"/>
      <c r="AJ74" s="183"/>
      <c r="AK74" s="183"/>
      <c r="AL74" s="183"/>
      <c r="AM74" s="184"/>
      <c r="AN74" s="184"/>
      <c r="AO74" s="185"/>
      <c r="AR74" s="82"/>
      <c r="AS74" s="82"/>
      <c r="AT74" s="82"/>
    </row>
    <row r="75" spans="2:46" ht="42.6" customHeight="1">
      <c r="B75" s="161">
        <v>3</v>
      </c>
      <c r="C75" s="364" t="s">
        <v>15</v>
      </c>
      <c r="D75" s="365"/>
      <c r="E75" s="365"/>
      <c r="F75" s="366"/>
      <c r="G75" s="196">
        <v>0.25</v>
      </c>
      <c r="H75" s="197"/>
      <c r="I75" s="342" t="s">
        <v>262</v>
      </c>
      <c r="J75" s="343"/>
      <c r="K75" s="343"/>
      <c r="L75" s="343"/>
      <c r="M75" s="343"/>
      <c r="N75" s="343"/>
      <c r="O75" s="343"/>
      <c r="P75" s="343"/>
      <c r="Q75" s="343"/>
      <c r="R75" s="343"/>
      <c r="S75" s="343"/>
      <c r="T75" s="343"/>
      <c r="U75" s="343"/>
      <c r="V75" s="343"/>
      <c r="W75" s="343"/>
      <c r="X75" s="343"/>
      <c r="Y75" s="343"/>
      <c r="Z75" s="343"/>
      <c r="AA75" s="343"/>
      <c r="AB75" s="343"/>
      <c r="AC75" s="343"/>
      <c r="AD75" s="344"/>
      <c r="AE75" s="273"/>
      <c r="AF75" s="273"/>
      <c r="AG75" s="273"/>
      <c r="AH75" s="273"/>
      <c r="AI75" s="273"/>
      <c r="AJ75" s="273"/>
      <c r="AK75" s="273"/>
      <c r="AL75" s="273"/>
      <c r="AM75" s="323"/>
      <c r="AN75" s="323"/>
      <c r="AO75" s="324"/>
      <c r="AR75" s="82"/>
      <c r="AS75" s="82"/>
      <c r="AT75" s="82"/>
    </row>
    <row r="76" spans="2:46" ht="42.6" customHeight="1">
      <c r="B76" s="161"/>
      <c r="C76" s="364"/>
      <c r="D76" s="365"/>
      <c r="E76" s="365"/>
      <c r="F76" s="366"/>
      <c r="G76" s="198"/>
      <c r="H76" s="199"/>
      <c r="I76" s="213" t="s">
        <v>47</v>
      </c>
      <c r="J76" s="214"/>
      <c r="K76" s="214"/>
      <c r="L76" s="214"/>
      <c r="M76" s="214"/>
      <c r="N76" s="214"/>
      <c r="O76" s="214"/>
      <c r="P76" s="214"/>
      <c r="Q76" s="214"/>
      <c r="R76" s="214"/>
      <c r="S76" s="215"/>
      <c r="T76" s="227"/>
      <c r="U76" s="228"/>
      <c r="V76" s="228"/>
      <c r="W76" s="228"/>
      <c r="X76" s="228"/>
      <c r="Y76" s="228"/>
      <c r="Z76" s="228"/>
      <c r="AA76" s="228"/>
      <c r="AB76" s="228"/>
      <c r="AC76" s="228"/>
      <c r="AD76" s="229"/>
      <c r="AE76" s="156"/>
      <c r="AF76" s="156"/>
      <c r="AG76" s="156"/>
      <c r="AH76" s="156"/>
      <c r="AI76" s="156"/>
      <c r="AJ76" s="156"/>
      <c r="AK76" s="156"/>
      <c r="AL76" s="156"/>
      <c r="AM76" s="222"/>
      <c r="AN76" s="222"/>
      <c r="AO76" s="223"/>
      <c r="AR76" s="82"/>
      <c r="AS76" s="82"/>
      <c r="AT76" s="82"/>
    </row>
    <row r="77" spans="2:46" ht="42.6" customHeight="1" thickBot="1">
      <c r="B77" s="162"/>
      <c r="C77" s="367"/>
      <c r="D77" s="368"/>
      <c r="E77" s="368"/>
      <c r="F77" s="369"/>
      <c r="G77" s="200"/>
      <c r="H77" s="179"/>
      <c r="I77" s="339" t="s">
        <v>169</v>
      </c>
      <c r="J77" s="340"/>
      <c r="K77" s="340"/>
      <c r="L77" s="340"/>
      <c r="M77" s="340"/>
      <c r="N77" s="340"/>
      <c r="O77" s="340"/>
      <c r="P77" s="340"/>
      <c r="Q77" s="340"/>
      <c r="R77" s="340"/>
      <c r="S77" s="341"/>
      <c r="T77" s="157" t="s">
        <v>278</v>
      </c>
      <c r="U77" s="158"/>
      <c r="V77" s="158"/>
      <c r="W77" s="158"/>
      <c r="X77" s="158"/>
      <c r="Y77" s="158"/>
      <c r="Z77" s="158"/>
      <c r="AA77" s="158"/>
      <c r="AB77" s="158"/>
      <c r="AC77" s="158"/>
      <c r="AD77" s="159"/>
      <c r="AE77" s="183"/>
      <c r="AF77" s="183"/>
      <c r="AG77" s="183"/>
      <c r="AH77" s="183"/>
      <c r="AI77" s="183"/>
      <c r="AJ77" s="183"/>
      <c r="AK77" s="183"/>
      <c r="AL77" s="183"/>
      <c r="AM77" s="184"/>
      <c r="AN77" s="184"/>
      <c r="AO77" s="185"/>
      <c r="AR77" s="82"/>
      <c r="AS77" s="81"/>
      <c r="AT77" s="81"/>
    </row>
    <row r="78" spans="2:46" ht="42.6" customHeight="1">
      <c r="B78" s="160">
        <v>4</v>
      </c>
      <c r="C78" s="203" t="s">
        <v>16</v>
      </c>
      <c r="D78" s="358"/>
      <c r="E78" s="358"/>
      <c r="F78" s="204"/>
      <c r="G78" s="196">
        <v>1</v>
      </c>
      <c r="H78" s="197"/>
      <c r="I78" s="224" t="s">
        <v>263</v>
      </c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6"/>
      <c r="AE78" s="180"/>
      <c r="AF78" s="180"/>
      <c r="AG78" s="180"/>
      <c r="AH78" s="180"/>
      <c r="AI78" s="180"/>
      <c r="AJ78" s="180"/>
      <c r="AK78" s="180"/>
      <c r="AL78" s="180"/>
      <c r="AM78" s="181"/>
      <c r="AN78" s="181"/>
      <c r="AO78" s="182"/>
      <c r="AR78" s="82"/>
      <c r="AS78" s="82"/>
      <c r="AT78" s="82"/>
    </row>
    <row r="79" spans="2:46" ht="42.6" customHeight="1">
      <c r="B79" s="161"/>
      <c r="C79" s="237"/>
      <c r="D79" s="267"/>
      <c r="E79" s="267"/>
      <c r="F79" s="238"/>
      <c r="G79" s="198"/>
      <c r="H79" s="199"/>
      <c r="I79" s="213" t="s">
        <v>189</v>
      </c>
      <c r="J79" s="214"/>
      <c r="K79" s="214"/>
      <c r="L79" s="214"/>
      <c r="M79" s="214"/>
      <c r="N79" s="214"/>
      <c r="O79" s="214"/>
      <c r="P79" s="214"/>
      <c r="Q79" s="214"/>
      <c r="R79" s="214"/>
      <c r="S79" s="215"/>
      <c r="T79" s="73"/>
      <c r="U79" s="74"/>
      <c r="V79" s="74"/>
      <c r="W79" s="74"/>
      <c r="X79" s="74"/>
      <c r="Y79" s="74"/>
      <c r="Z79" s="74"/>
      <c r="AA79" s="74"/>
      <c r="AB79" s="74"/>
      <c r="AC79" s="74"/>
      <c r="AD79" s="75"/>
      <c r="AE79" s="213"/>
      <c r="AF79" s="214"/>
      <c r="AG79" s="214"/>
      <c r="AH79" s="214"/>
      <c r="AI79" s="214"/>
      <c r="AJ79" s="214"/>
      <c r="AK79" s="214"/>
      <c r="AL79" s="215"/>
      <c r="AM79" s="216"/>
      <c r="AN79" s="217"/>
      <c r="AO79" s="218"/>
      <c r="AR79" s="82"/>
      <c r="AS79" s="82"/>
      <c r="AT79" s="82"/>
    </row>
    <row r="80" spans="2:46" ht="42.6" customHeight="1" thickBot="1">
      <c r="B80" s="162"/>
      <c r="C80" s="211"/>
      <c r="D80" s="310"/>
      <c r="E80" s="310"/>
      <c r="F80" s="212"/>
      <c r="G80" s="200"/>
      <c r="H80" s="179"/>
      <c r="I80" s="219" t="s">
        <v>164</v>
      </c>
      <c r="J80" s="220"/>
      <c r="K80" s="220"/>
      <c r="L80" s="220"/>
      <c r="M80" s="220"/>
      <c r="N80" s="220"/>
      <c r="O80" s="220"/>
      <c r="P80" s="220"/>
      <c r="Q80" s="220"/>
      <c r="R80" s="220"/>
      <c r="S80" s="221"/>
      <c r="T80" s="157" t="s">
        <v>266</v>
      </c>
      <c r="U80" s="158"/>
      <c r="V80" s="158"/>
      <c r="W80" s="158"/>
      <c r="X80" s="158"/>
      <c r="Y80" s="158"/>
      <c r="Z80" s="158"/>
      <c r="AA80" s="158"/>
      <c r="AB80" s="158"/>
      <c r="AC80" s="158"/>
      <c r="AD80" s="159"/>
      <c r="AE80" s="183"/>
      <c r="AF80" s="183"/>
      <c r="AG80" s="183"/>
      <c r="AH80" s="183"/>
      <c r="AI80" s="183"/>
      <c r="AJ80" s="183"/>
      <c r="AK80" s="183"/>
      <c r="AL80" s="183"/>
      <c r="AM80" s="184"/>
      <c r="AN80" s="184"/>
      <c r="AO80" s="185"/>
      <c r="AR80" s="82"/>
      <c r="AS80" s="82"/>
      <c r="AT80" s="82"/>
    </row>
    <row r="81" spans="2:46" ht="42.6" customHeight="1">
      <c r="B81" s="160">
        <v>5</v>
      </c>
      <c r="C81" s="370" t="s">
        <v>182</v>
      </c>
      <c r="D81" s="370"/>
      <c r="E81" s="359" t="s">
        <v>155</v>
      </c>
      <c r="F81" s="360"/>
      <c r="G81" s="346">
        <v>2.4500000000000002</v>
      </c>
      <c r="H81" s="346"/>
      <c r="I81" s="224" t="s">
        <v>274</v>
      </c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6"/>
      <c r="AE81" s="180"/>
      <c r="AF81" s="180"/>
      <c r="AG81" s="180"/>
      <c r="AH81" s="180"/>
      <c r="AI81" s="180"/>
      <c r="AJ81" s="180"/>
      <c r="AK81" s="180"/>
      <c r="AL81" s="180"/>
      <c r="AM81" s="181"/>
      <c r="AN81" s="181"/>
      <c r="AO81" s="182"/>
      <c r="AR81" s="82"/>
      <c r="AS81" s="81"/>
      <c r="AT81" s="81"/>
    </row>
    <row r="82" spans="2:46" ht="42.6" customHeight="1">
      <c r="B82" s="161"/>
      <c r="C82" s="371"/>
      <c r="D82" s="371"/>
      <c r="E82" s="361" t="s">
        <v>183</v>
      </c>
      <c r="F82" s="362"/>
      <c r="G82" s="345">
        <v>0</v>
      </c>
      <c r="H82" s="345"/>
      <c r="I82" s="227" t="s">
        <v>243</v>
      </c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9"/>
      <c r="AE82" s="156"/>
      <c r="AF82" s="156"/>
      <c r="AG82" s="156"/>
      <c r="AH82" s="156"/>
      <c r="AI82" s="156"/>
      <c r="AJ82" s="156"/>
      <c r="AK82" s="156"/>
      <c r="AL82" s="156"/>
      <c r="AM82" s="222"/>
      <c r="AN82" s="222"/>
      <c r="AO82" s="223"/>
      <c r="AR82" s="82"/>
      <c r="AS82" s="81"/>
      <c r="AT82" s="81"/>
    </row>
    <row r="83" spans="2:46" ht="42.6" customHeight="1">
      <c r="B83" s="161"/>
      <c r="C83" s="325"/>
      <c r="D83" s="325"/>
      <c r="E83" s="361" t="s">
        <v>33</v>
      </c>
      <c r="F83" s="362"/>
      <c r="G83" s="345">
        <v>0</v>
      </c>
      <c r="H83" s="345"/>
      <c r="I83" s="227" t="s">
        <v>243</v>
      </c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9"/>
      <c r="AE83" s="156"/>
      <c r="AF83" s="156"/>
      <c r="AG83" s="156"/>
      <c r="AH83" s="156"/>
      <c r="AI83" s="156"/>
      <c r="AJ83" s="156"/>
      <c r="AK83" s="156"/>
      <c r="AL83" s="156"/>
      <c r="AM83" s="222"/>
      <c r="AN83" s="222"/>
      <c r="AO83" s="223"/>
      <c r="AR83" s="82"/>
      <c r="AS83" s="81"/>
      <c r="AT83" s="81"/>
    </row>
    <row r="84" spans="2:46" ht="42.6" customHeight="1">
      <c r="B84" s="161"/>
      <c r="C84" s="325"/>
      <c r="D84" s="325"/>
      <c r="E84" s="363" t="s">
        <v>153</v>
      </c>
      <c r="F84" s="362"/>
      <c r="G84" s="176">
        <v>0.5</v>
      </c>
      <c r="H84" s="177"/>
      <c r="I84" s="227" t="s">
        <v>276</v>
      </c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9"/>
      <c r="AE84" s="213"/>
      <c r="AF84" s="214"/>
      <c r="AG84" s="214"/>
      <c r="AH84" s="214"/>
      <c r="AI84" s="214"/>
      <c r="AJ84" s="214"/>
      <c r="AK84" s="214"/>
      <c r="AL84" s="215"/>
      <c r="AM84" s="216"/>
      <c r="AN84" s="217"/>
      <c r="AO84" s="218"/>
      <c r="AR84" s="82"/>
      <c r="AS84" s="81"/>
      <c r="AT84" s="81"/>
    </row>
    <row r="85" spans="2:46" ht="42.6" customHeight="1">
      <c r="B85" s="161"/>
      <c r="C85" s="325"/>
      <c r="D85" s="325"/>
      <c r="E85" s="347" t="s">
        <v>156</v>
      </c>
      <c r="F85" s="210"/>
      <c r="G85" s="337" t="s">
        <v>36</v>
      </c>
      <c r="H85" s="338"/>
      <c r="I85" s="213" t="s">
        <v>128</v>
      </c>
      <c r="J85" s="214"/>
      <c r="K85" s="214"/>
      <c r="L85" s="214"/>
      <c r="M85" s="214"/>
      <c r="N85" s="214"/>
      <c r="O85" s="214"/>
      <c r="P85" s="214"/>
      <c r="Q85" s="214"/>
      <c r="R85" s="214"/>
      <c r="S85" s="215"/>
      <c r="T85" s="227" t="s">
        <v>267</v>
      </c>
      <c r="U85" s="228"/>
      <c r="V85" s="228"/>
      <c r="W85" s="228"/>
      <c r="X85" s="228"/>
      <c r="Y85" s="228"/>
      <c r="Z85" s="228"/>
      <c r="AA85" s="228"/>
      <c r="AB85" s="228"/>
      <c r="AC85" s="228"/>
      <c r="AD85" s="229"/>
      <c r="AE85" s="156"/>
      <c r="AF85" s="156"/>
      <c r="AG85" s="156"/>
      <c r="AH85" s="156"/>
      <c r="AI85" s="156"/>
      <c r="AJ85" s="156"/>
      <c r="AK85" s="156"/>
      <c r="AL85" s="156"/>
      <c r="AM85" s="222"/>
      <c r="AN85" s="222"/>
      <c r="AO85" s="223"/>
      <c r="AR85" s="82"/>
      <c r="AS85" s="81"/>
      <c r="AT85" s="81"/>
    </row>
    <row r="86" spans="2:46" ht="42.6" customHeight="1">
      <c r="B86" s="161"/>
      <c r="C86" s="325"/>
      <c r="D86" s="325"/>
      <c r="E86" s="237"/>
      <c r="F86" s="238"/>
      <c r="G86" s="241"/>
      <c r="H86" s="242"/>
      <c r="I86" s="213" t="s">
        <v>181</v>
      </c>
      <c r="J86" s="214"/>
      <c r="K86" s="214"/>
      <c r="L86" s="214"/>
      <c r="M86" s="214"/>
      <c r="N86" s="214"/>
      <c r="O86" s="214"/>
      <c r="P86" s="214"/>
      <c r="Q86" s="214"/>
      <c r="R86" s="214"/>
      <c r="S86" s="215"/>
      <c r="T86" s="227"/>
      <c r="U86" s="228"/>
      <c r="V86" s="228"/>
      <c r="W86" s="228"/>
      <c r="X86" s="228"/>
      <c r="Y86" s="228"/>
      <c r="Z86" s="228"/>
      <c r="AA86" s="228"/>
      <c r="AB86" s="228"/>
      <c r="AC86" s="228"/>
      <c r="AD86" s="229"/>
      <c r="AE86" s="156"/>
      <c r="AF86" s="156"/>
      <c r="AG86" s="156"/>
      <c r="AH86" s="156"/>
      <c r="AI86" s="156"/>
      <c r="AJ86" s="156"/>
      <c r="AK86" s="156"/>
      <c r="AL86" s="156"/>
      <c r="AM86" s="222"/>
      <c r="AN86" s="222"/>
      <c r="AO86" s="223"/>
      <c r="AR86" s="82"/>
      <c r="AS86" s="82"/>
      <c r="AT86" s="82"/>
    </row>
    <row r="87" spans="2:46" ht="42.6" customHeight="1">
      <c r="B87" s="161"/>
      <c r="C87" s="325"/>
      <c r="D87" s="325"/>
      <c r="E87" s="237"/>
      <c r="F87" s="238"/>
      <c r="G87" s="241"/>
      <c r="H87" s="242"/>
      <c r="I87" s="213" t="s">
        <v>176</v>
      </c>
      <c r="J87" s="214"/>
      <c r="K87" s="214"/>
      <c r="L87" s="214"/>
      <c r="M87" s="214"/>
      <c r="N87" s="214"/>
      <c r="O87" s="214"/>
      <c r="P87" s="214"/>
      <c r="Q87" s="214"/>
      <c r="R87" s="214"/>
      <c r="S87" s="215"/>
      <c r="T87" s="227"/>
      <c r="U87" s="228"/>
      <c r="V87" s="228"/>
      <c r="W87" s="228"/>
      <c r="X87" s="228"/>
      <c r="Y87" s="228"/>
      <c r="Z87" s="228"/>
      <c r="AA87" s="228"/>
      <c r="AB87" s="228"/>
      <c r="AC87" s="228"/>
      <c r="AD87" s="229"/>
      <c r="AE87" s="156"/>
      <c r="AF87" s="156"/>
      <c r="AG87" s="156"/>
      <c r="AH87" s="156"/>
      <c r="AI87" s="156"/>
      <c r="AJ87" s="156"/>
      <c r="AK87" s="156"/>
      <c r="AL87" s="156"/>
      <c r="AM87" s="222"/>
      <c r="AN87" s="222"/>
      <c r="AO87" s="223"/>
      <c r="AR87" s="82"/>
      <c r="AS87" s="82"/>
      <c r="AT87" s="82"/>
    </row>
    <row r="88" spans="2:46" ht="42.6" customHeight="1">
      <c r="B88" s="161"/>
      <c r="C88" s="325"/>
      <c r="D88" s="325"/>
      <c r="E88" s="237"/>
      <c r="F88" s="238"/>
      <c r="G88" s="241"/>
      <c r="H88" s="242"/>
      <c r="I88" s="213" t="s">
        <v>136</v>
      </c>
      <c r="J88" s="214"/>
      <c r="K88" s="214"/>
      <c r="L88" s="214"/>
      <c r="M88" s="214"/>
      <c r="N88" s="214"/>
      <c r="O88" s="214"/>
      <c r="P88" s="214"/>
      <c r="Q88" s="214"/>
      <c r="R88" s="214"/>
      <c r="S88" s="215"/>
      <c r="T88" s="227"/>
      <c r="U88" s="228"/>
      <c r="V88" s="228"/>
      <c r="W88" s="228"/>
      <c r="X88" s="228"/>
      <c r="Y88" s="228"/>
      <c r="Z88" s="228"/>
      <c r="AA88" s="228"/>
      <c r="AB88" s="228"/>
      <c r="AC88" s="228"/>
      <c r="AD88" s="229"/>
      <c r="AE88" s="156"/>
      <c r="AF88" s="156"/>
      <c r="AG88" s="156"/>
      <c r="AH88" s="156"/>
      <c r="AI88" s="156"/>
      <c r="AJ88" s="156"/>
      <c r="AK88" s="156"/>
      <c r="AL88" s="156"/>
      <c r="AM88" s="222"/>
      <c r="AN88" s="222"/>
      <c r="AO88" s="223"/>
      <c r="AR88" s="82"/>
      <c r="AS88" s="82"/>
      <c r="AT88" s="82"/>
    </row>
    <row r="89" spans="2:46" ht="42.6" customHeight="1">
      <c r="B89" s="161"/>
      <c r="C89" s="325"/>
      <c r="D89" s="325"/>
      <c r="E89" s="237"/>
      <c r="F89" s="238"/>
      <c r="G89" s="241"/>
      <c r="H89" s="242"/>
      <c r="I89" s="213" t="s">
        <v>137</v>
      </c>
      <c r="J89" s="214"/>
      <c r="K89" s="214"/>
      <c r="L89" s="214"/>
      <c r="M89" s="214"/>
      <c r="N89" s="214"/>
      <c r="O89" s="214"/>
      <c r="P89" s="214"/>
      <c r="Q89" s="214"/>
      <c r="R89" s="214"/>
      <c r="S89" s="215"/>
      <c r="T89" s="227"/>
      <c r="U89" s="228"/>
      <c r="V89" s="228"/>
      <c r="W89" s="228"/>
      <c r="X89" s="228"/>
      <c r="Y89" s="228"/>
      <c r="Z89" s="228"/>
      <c r="AA89" s="228"/>
      <c r="AB89" s="228"/>
      <c r="AC89" s="228"/>
      <c r="AD89" s="229"/>
      <c r="AE89" s="156"/>
      <c r="AF89" s="156"/>
      <c r="AG89" s="156"/>
      <c r="AH89" s="156"/>
      <c r="AI89" s="156"/>
      <c r="AJ89" s="156"/>
      <c r="AK89" s="156"/>
      <c r="AL89" s="156"/>
      <c r="AM89" s="222"/>
      <c r="AN89" s="222"/>
      <c r="AO89" s="223"/>
      <c r="AR89" s="82"/>
      <c r="AS89" s="82"/>
      <c r="AT89" s="82"/>
    </row>
    <row r="90" spans="2:46" ht="42.6" customHeight="1">
      <c r="B90" s="161"/>
      <c r="C90" s="325"/>
      <c r="D90" s="325"/>
      <c r="E90" s="237"/>
      <c r="F90" s="238"/>
      <c r="G90" s="241"/>
      <c r="H90" s="242"/>
      <c r="I90" s="318" t="s">
        <v>138</v>
      </c>
      <c r="J90" s="319"/>
      <c r="K90" s="319"/>
      <c r="L90" s="319"/>
      <c r="M90" s="319"/>
      <c r="N90" s="319"/>
      <c r="O90" s="319"/>
      <c r="P90" s="319"/>
      <c r="Q90" s="319"/>
      <c r="R90" s="319"/>
      <c r="S90" s="320"/>
      <c r="T90" s="227"/>
      <c r="U90" s="228"/>
      <c r="V90" s="228"/>
      <c r="W90" s="228"/>
      <c r="X90" s="228"/>
      <c r="Y90" s="228"/>
      <c r="Z90" s="228"/>
      <c r="AA90" s="228"/>
      <c r="AB90" s="228"/>
      <c r="AC90" s="228"/>
      <c r="AD90" s="229"/>
      <c r="AE90" s="156"/>
      <c r="AF90" s="156"/>
      <c r="AG90" s="156"/>
      <c r="AH90" s="156"/>
      <c r="AI90" s="156"/>
      <c r="AJ90" s="156"/>
      <c r="AK90" s="156"/>
      <c r="AL90" s="156"/>
      <c r="AM90" s="222"/>
      <c r="AN90" s="222"/>
      <c r="AO90" s="223"/>
      <c r="AR90" s="82"/>
      <c r="AS90" s="82"/>
      <c r="AT90" s="82"/>
    </row>
    <row r="91" spans="2:46" ht="42.6" customHeight="1" thickBot="1">
      <c r="B91" s="162"/>
      <c r="C91" s="328"/>
      <c r="D91" s="328"/>
      <c r="E91" s="211"/>
      <c r="F91" s="212"/>
      <c r="G91" s="178"/>
      <c r="H91" s="243"/>
      <c r="I91" s="339" t="s">
        <v>157</v>
      </c>
      <c r="J91" s="340"/>
      <c r="K91" s="340"/>
      <c r="L91" s="340"/>
      <c r="M91" s="340"/>
      <c r="N91" s="340"/>
      <c r="O91" s="340"/>
      <c r="P91" s="340"/>
      <c r="Q91" s="340"/>
      <c r="R91" s="340"/>
      <c r="S91" s="341"/>
      <c r="T91" s="157" t="s">
        <v>273</v>
      </c>
      <c r="U91" s="158"/>
      <c r="V91" s="158"/>
      <c r="W91" s="158"/>
      <c r="X91" s="158"/>
      <c r="Y91" s="158"/>
      <c r="Z91" s="158"/>
      <c r="AA91" s="158"/>
      <c r="AB91" s="158"/>
      <c r="AC91" s="158"/>
      <c r="AD91" s="159"/>
      <c r="AE91" s="183"/>
      <c r="AF91" s="183"/>
      <c r="AG91" s="183"/>
      <c r="AH91" s="183"/>
      <c r="AI91" s="183"/>
      <c r="AJ91" s="183"/>
      <c r="AK91" s="183"/>
      <c r="AL91" s="183"/>
      <c r="AM91" s="184"/>
      <c r="AN91" s="184"/>
      <c r="AO91" s="185"/>
      <c r="AR91" s="82"/>
      <c r="AS91" s="82"/>
      <c r="AT91" s="82"/>
    </row>
    <row r="92" spans="2:46" ht="42.6" customHeight="1">
      <c r="B92" s="160">
        <v>6</v>
      </c>
      <c r="C92" s="203" t="s">
        <v>17</v>
      </c>
      <c r="D92" s="204"/>
      <c r="E92" s="203" t="s">
        <v>184</v>
      </c>
      <c r="F92" s="204"/>
      <c r="G92" s="196">
        <v>0.5</v>
      </c>
      <c r="H92" s="197"/>
      <c r="I92" s="224" t="s">
        <v>265</v>
      </c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  <c r="AB92" s="225"/>
      <c r="AC92" s="225"/>
      <c r="AD92" s="226"/>
      <c r="AE92" s="231"/>
      <c r="AF92" s="232"/>
      <c r="AG92" s="232"/>
      <c r="AH92" s="232"/>
      <c r="AI92" s="232"/>
      <c r="AJ92" s="232"/>
      <c r="AK92" s="232"/>
      <c r="AL92" s="233"/>
      <c r="AM92" s="234"/>
      <c r="AN92" s="235"/>
      <c r="AO92" s="236"/>
      <c r="AR92" s="82"/>
      <c r="AS92" s="81"/>
      <c r="AT92" s="81"/>
    </row>
    <row r="93" spans="2:46" ht="42.6" customHeight="1">
      <c r="B93" s="161"/>
      <c r="C93" s="237"/>
      <c r="D93" s="238"/>
      <c r="E93" s="205"/>
      <c r="F93" s="206"/>
      <c r="G93" s="207"/>
      <c r="H93" s="208"/>
      <c r="I93" s="213" t="s">
        <v>159</v>
      </c>
      <c r="J93" s="214"/>
      <c r="K93" s="214"/>
      <c r="L93" s="214"/>
      <c r="M93" s="214"/>
      <c r="N93" s="214"/>
      <c r="O93" s="214"/>
      <c r="P93" s="214"/>
      <c r="Q93" s="214"/>
      <c r="R93" s="214"/>
      <c r="S93" s="215"/>
      <c r="T93" s="342"/>
      <c r="U93" s="343"/>
      <c r="V93" s="343"/>
      <c r="W93" s="343"/>
      <c r="X93" s="343"/>
      <c r="Y93" s="343"/>
      <c r="Z93" s="343"/>
      <c r="AA93" s="343"/>
      <c r="AB93" s="343"/>
      <c r="AC93" s="343"/>
      <c r="AD93" s="344"/>
      <c r="AE93" s="273"/>
      <c r="AF93" s="273"/>
      <c r="AG93" s="273"/>
      <c r="AH93" s="273"/>
      <c r="AI93" s="273"/>
      <c r="AJ93" s="273"/>
      <c r="AK93" s="273"/>
      <c r="AL93" s="273"/>
      <c r="AM93" s="323"/>
      <c r="AN93" s="323"/>
      <c r="AO93" s="324"/>
      <c r="AR93" s="82"/>
      <c r="AS93" s="81"/>
      <c r="AT93" s="81"/>
    </row>
    <row r="94" spans="2:46" ht="42.6" customHeight="1">
      <c r="B94" s="161"/>
      <c r="C94" s="237"/>
      <c r="D94" s="238"/>
      <c r="E94" s="209" t="s">
        <v>190</v>
      </c>
      <c r="F94" s="210"/>
      <c r="G94" s="176">
        <v>0.25</v>
      </c>
      <c r="H94" s="177"/>
      <c r="I94" s="213" t="s">
        <v>193</v>
      </c>
      <c r="J94" s="214"/>
      <c r="K94" s="214"/>
      <c r="L94" s="214"/>
      <c r="M94" s="214"/>
      <c r="N94" s="214"/>
      <c r="O94" s="214"/>
      <c r="P94" s="214"/>
      <c r="Q94" s="214"/>
      <c r="R94" s="214"/>
      <c r="S94" s="215"/>
      <c r="T94" s="230" t="s">
        <v>194</v>
      </c>
      <c r="U94" s="380"/>
      <c r="V94" s="380"/>
      <c r="W94" s="380"/>
      <c r="X94" s="380"/>
      <c r="Y94" s="380"/>
      <c r="Z94" s="380"/>
      <c r="AA94" s="380"/>
      <c r="AB94" s="380"/>
      <c r="AC94" s="380"/>
      <c r="AD94" s="381"/>
      <c r="AE94" s="213"/>
      <c r="AF94" s="214"/>
      <c r="AG94" s="214"/>
      <c r="AH94" s="214"/>
      <c r="AI94" s="214"/>
      <c r="AJ94" s="214"/>
      <c r="AK94" s="214"/>
      <c r="AL94" s="215"/>
      <c r="AM94" s="216"/>
      <c r="AN94" s="217"/>
      <c r="AO94" s="218"/>
      <c r="AR94" s="82"/>
      <c r="AS94" s="81"/>
      <c r="AT94" s="81"/>
    </row>
    <row r="95" spans="2:46" ht="42.6" customHeight="1" thickBot="1">
      <c r="B95" s="162"/>
      <c r="C95" s="211"/>
      <c r="D95" s="212"/>
      <c r="E95" s="211"/>
      <c r="F95" s="212"/>
      <c r="G95" s="335">
        <v>0</v>
      </c>
      <c r="H95" s="336"/>
      <c r="I95" s="248" t="s">
        <v>264</v>
      </c>
      <c r="J95" s="249"/>
      <c r="K95" s="249"/>
      <c r="L95" s="249"/>
      <c r="M95" s="249"/>
      <c r="N95" s="249"/>
      <c r="O95" s="249"/>
      <c r="P95" s="249"/>
      <c r="Q95" s="249"/>
      <c r="R95" s="249"/>
      <c r="S95" s="250"/>
      <c r="T95" s="385" t="s">
        <v>243</v>
      </c>
      <c r="U95" s="158"/>
      <c r="V95" s="158"/>
      <c r="W95" s="158"/>
      <c r="X95" s="158"/>
      <c r="Y95" s="158"/>
      <c r="Z95" s="158"/>
      <c r="AA95" s="158"/>
      <c r="AB95" s="158"/>
      <c r="AC95" s="158"/>
      <c r="AD95" s="159"/>
      <c r="AE95" s="183"/>
      <c r="AF95" s="183"/>
      <c r="AG95" s="183"/>
      <c r="AH95" s="183"/>
      <c r="AI95" s="183"/>
      <c r="AJ95" s="183"/>
      <c r="AK95" s="183"/>
      <c r="AL95" s="183"/>
      <c r="AM95" s="184"/>
      <c r="AN95" s="184"/>
      <c r="AO95" s="185"/>
      <c r="AR95" s="82"/>
      <c r="AS95" s="81"/>
      <c r="AT95" s="81"/>
    </row>
    <row r="96" spans="2:46" ht="42.6" customHeight="1">
      <c r="B96" s="160">
        <v>7</v>
      </c>
      <c r="C96" s="203" t="s">
        <v>46</v>
      </c>
      <c r="D96" s="204"/>
      <c r="E96" s="244" t="s">
        <v>18</v>
      </c>
      <c r="F96" s="245"/>
      <c r="G96" s="175">
        <v>0.35</v>
      </c>
      <c r="H96" s="152"/>
      <c r="I96" s="224" t="s">
        <v>262</v>
      </c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  <c r="AA96" s="225"/>
      <c r="AB96" s="225"/>
      <c r="AC96" s="225"/>
      <c r="AD96" s="226"/>
      <c r="AE96" s="180"/>
      <c r="AF96" s="180"/>
      <c r="AG96" s="180"/>
      <c r="AH96" s="180"/>
      <c r="AI96" s="180"/>
      <c r="AJ96" s="180"/>
      <c r="AK96" s="180"/>
      <c r="AL96" s="180"/>
      <c r="AM96" s="181"/>
      <c r="AN96" s="181"/>
      <c r="AO96" s="182"/>
      <c r="AR96" s="82"/>
      <c r="AS96" s="82"/>
      <c r="AT96" s="82"/>
    </row>
    <row r="97" spans="2:46" ht="42.6" customHeight="1">
      <c r="B97" s="161"/>
      <c r="C97" s="237"/>
      <c r="D97" s="238"/>
      <c r="E97" s="246" t="s">
        <v>185</v>
      </c>
      <c r="F97" s="247"/>
      <c r="G97" s="176">
        <v>1.1000000000000001</v>
      </c>
      <c r="H97" s="177"/>
      <c r="I97" s="227" t="s">
        <v>268</v>
      </c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9"/>
      <c r="AE97" s="156"/>
      <c r="AF97" s="156"/>
      <c r="AG97" s="156"/>
      <c r="AH97" s="156"/>
      <c r="AI97" s="156"/>
      <c r="AJ97" s="156"/>
      <c r="AK97" s="156"/>
      <c r="AL97" s="156"/>
      <c r="AM97" s="222"/>
      <c r="AN97" s="222"/>
      <c r="AO97" s="223"/>
      <c r="AR97" s="82"/>
      <c r="AS97" s="82"/>
      <c r="AT97" s="82"/>
    </row>
    <row r="98" spans="2:46" ht="42.6" customHeight="1">
      <c r="B98" s="161"/>
      <c r="C98" s="237"/>
      <c r="D98" s="238"/>
      <c r="E98" s="246" t="s">
        <v>19</v>
      </c>
      <c r="F98" s="247"/>
      <c r="G98" s="201">
        <v>0.3</v>
      </c>
      <c r="H98" s="202"/>
      <c r="I98" s="342" t="s">
        <v>262</v>
      </c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4"/>
      <c r="AE98" s="156"/>
      <c r="AF98" s="156"/>
      <c r="AG98" s="156"/>
      <c r="AH98" s="156"/>
      <c r="AI98" s="156"/>
      <c r="AJ98" s="156"/>
      <c r="AK98" s="156"/>
      <c r="AL98" s="156"/>
      <c r="AM98" s="222"/>
      <c r="AN98" s="222"/>
      <c r="AO98" s="223"/>
      <c r="AR98" s="82"/>
      <c r="AS98" s="82"/>
      <c r="AT98" s="82"/>
    </row>
    <row r="99" spans="2:46" ht="42.6" customHeight="1">
      <c r="B99" s="161"/>
      <c r="C99" s="237"/>
      <c r="D99" s="238"/>
      <c r="E99" s="347" t="s">
        <v>156</v>
      </c>
      <c r="F99" s="210"/>
      <c r="G99" s="198"/>
      <c r="H99" s="199"/>
      <c r="I99" s="331" t="s">
        <v>139</v>
      </c>
      <c r="J99" s="332"/>
      <c r="K99" s="332"/>
      <c r="L99" s="332"/>
      <c r="M99" s="332"/>
      <c r="N99" s="332"/>
      <c r="O99" s="332"/>
      <c r="P99" s="332"/>
      <c r="Q99" s="332"/>
      <c r="R99" s="332"/>
      <c r="S99" s="333"/>
      <c r="T99" s="227"/>
      <c r="U99" s="228"/>
      <c r="V99" s="228"/>
      <c r="W99" s="228"/>
      <c r="X99" s="228"/>
      <c r="Y99" s="228"/>
      <c r="Z99" s="228"/>
      <c r="AA99" s="228"/>
      <c r="AB99" s="228"/>
      <c r="AC99" s="228"/>
      <c r="AD99" s="229"/>
      <c r="AE99" s="156"/>
      <c r="AF99" s="156"/>
      <c r="AG99" s="156"/>
      <c r="AH99" s="156"/>
      <c r="AI99" s="156"/>
      <c r="AJ99" s="156"/>
      <c r="AK99" s="156"/>
      <c r="AL99" s="156"/>
      <c r="AM99" s="222"/>
      <c r="AN99" s="222"/>
      <c r="AO99" s="223"/>
      <c r="AR99" s="82"/>
      <c r="AS99" s="82"/>
      <c r="AT99" s="82"/>
    </row>
    <row r="100" spans="2:46" ht="42.6" customHeight="1">
      <c r="B100" s="161"/>
      <c r="C100" s="237"/>
      <c r="D100" s="238"/>
      <c r="E100" s="237"/>
      <c r="F100" s="238"/>
      <c r="G100" s="198"/>
      <c r="H100" s="199"/>
      <c r="I100" s="331" t="s">
        <v>140</v>
      </c>
      <c r="J100" s="332"/>
      <c r="K100" s="332"/>
      <c r="L100" s="332"/>
      <c r="M100" s="332"/>
      <c r="N100" s="332"/>
      <c r="O100" s="332"/>
      <c r="P100" s="332"/>
      <c r="Q100" s="332"/>
      <c r="R100" s="332"/>
      <c r="S100" s="333"/>
      <c r="T100" s="227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9"/>
      <c r="AE100" s="156"/>
      <c r="AF100" s="156"/>
      <c r="AG100" s="156"/>
      <c r="AH100" s="156"/>
      <c r="AI100" s="156"/>
      <c r="AJ100" s="156"/>
      <c r="AK100" s="156"/>
      <c r="AL100" s="156"/>
      <c r="AM100" s="222"/>
      <c r="AN100" s="222"/>
      <c r="AO100" s="223"/>
      <c r="AR100" s="82"/>
      <c r="AS100" s="82"/>
      <c r="AT100" s="82"/>
    </row>
    <row r="101" spans="2:46" ht="42.6" customHeight="1">
      <c r="B101" s="161"/>
      <c r="C101" s="237"/>
      <c r="D101" s="238"/>
      <c r="E101" s="237"/>
      <c r="F101" s="238"/>
      <c r="G101" s="198"/>
      <c r="H101" s="199"/>
      <c r="I101" s="331" t="s">
        <v>141</v>
      </c>
      <c r="J101" s="332"/>
      <c r="K101" s="332"/>
      <c r="L101" s="332"/>
      <c r="M101" s="332"/>
      <c r="N101" s="332"/>
      <c r="O101" s="332"/>
      <c r="P101" s="332"/>
      <c r="Q101" s="332"/>
      <c r="R101" s="332"/>
      <c r="S101" s="333"/>
      <c r="T101" s="227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9"/>
      <c r="AE101" s="156"/>
      <c r="AF101" s="156"/>
      <c r="AG101" s="156"/>
      <c r="AH101" s="156"/>
      <c r="AI101" s="156"/>
      <c r="AJ101" s="156"/>
      <c r="AK101" s="156"/>
      <c r="AL101" s="156"/>
      <c r="AM101" s="222"/>
      <c r="AN101" s="222"/>
      <c r="AO101" s="223"/>
      <c r="AR101" s="82"/>
      <c r="AS101" s="82"/>
      <c r="AT101" s="82"/>
    </row>
    <row r="102" spans="2:46" ht="42.6" customHeight="1">
      <c r="B102" s="161"/>
      <c r="C102" s="237"/>
      <c r="D102" s="238"/>
      <c r="E102" s="237"/>
      <c r="F102" s="238"/>
      <c r="G102" s="198"/>
      <c r="H102" s="199"/>
      <c r="I102" s="331" t="s">
        <v>142</v>
      </c>
      <c r="J102" s="332"/>
      <c r="K102" s="332"/>
      <c r="L102" s="332"/>
      <c r="M102" s="332"/>
      <c r="N102" s="332"/>
      <c r="O102" s="332"/>
      <c r="P102" s="332"/>
      <c r="Q102" s="332"/>
      <c r="R102" s="332"/>
      <c r="S102" s="333"/>
      <c r="T102" s="227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9"/>
      <c r="AE102" s="156"/>
      <c r="AF102" s="156"/>
      <c r="AG102" s="156"/>
      <c r="AH102" s="156"/>
      <c r="AI102" s="156"/>
      <c r="AJ102" s="156"/>
      <c r="AK102" s="156"/>
      <c r="AL102" s="156"/>
      <c r="AM102" s="222"/>
      <c r="AN102" s="222"/>
      <c r="AO102" s="223"/>
      <c r="AR102" s="82"/>
      <c r="AS102" s="82"/>
      <c r="AT102" s="82"/>
    </row>
    <row r="103" spans="2:46" ht="42.6" customHeight="1">
      <c r="B103" s="161"/>
      <c r="C103" s="237"/>
      <c r="D103" s="238"/>
      <c r="E103" s="237"/>
      <c r="F103" s="238"/>
      <c r="G103" s="198"/>
      <c r="H103" s="199"/>
      <c r="I103" s="331" t="s">
        <v>143</v>
      </c>
      <c r="J103" s="332"/>
      <c r="K103" s="332"/>
      <c r="L103" s="332"/>
      <c r="M103" s="332"/>
      <c r="N103" s="332"/>
      <c r="O103" s="332"/>
      <c r="P103" s="332"/>
      <c r="Q103" s="332"/>
      <c r="R103" s="332"/>
      <c r="S103" s="333"/>
      <c r="T103" s="227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9"/>
      <c r="AE103" s="156"/>
      <c r="AF103" s="156"/>
      <c r="AG103" s="156"/>
      <c r="AH103" s="156"/>
      <c r="AI103" s="156"/>
      <c r="AJ103" s="156"/>
      <c r="AK103" s="156"/>
      <c r="AL103" s="156"/>
      <c r="AM103" s="222"/>
      <c r="AN103" s="222"/>
      <c r="AO103" s="223"/>
      <c r="AR103" s="82"/>
      <c r="AS103" s="82"/>
      <c r="AT103" s="82"/>
    </row>
    <row r="104" spans="2:46" ht="42.6" customHeight="1">
      <c r="B104" s="161"/>
      <c r="C104" s="237"/>
      <c r="D104" s="238"/>
      <c r="E104" s="237"/>
      <c r="F104" s="238"/>
      <c r="G104" s="198"/>
      <c r="H104" s="199"/>
      <c r="I104" s="331" t="s">
        <v>144</v>
      </c>
      <c r="J104" s="332"/>
      <c r="K104" s="332"/>
      <c r="L104" s="332"/>
      <c r="M104" s="332"/>
      <c r="N104" s="332"/>
      <c r="O104" s="332"/>
      <c r="P104" s="332"/>
      <c r="Q104" s="332"/>
      <c r="R104" s="332"/>
      <c r="S104" s="333"/>
      <c r="T104" s="227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9"/>
      <c r="AE104" s="156"/>
      <c r="AF104" s="156"/>
      <c r="AG104" s="156"/>
      <c r="AH104" s="156"/>
      <c r="AI104" s="156"/>
      <c r="AJ104" s="156"/>
      <c r="AK104" s="156"/>
      <c r="AL104" s="156"/>
      <c r="AM104" s="222"/>
      <c r="AN104" s="222"/>
      <c r="AO104" s="223"/>
      <c r="AR104" s="82"/>
      <c r="AS104" s="82"/>
      <c r="AT104" s="82"/>
    </row>
    <row r="105" spans="2:46" ht="42.6" customHeight="1">
      <c r="B105" s="161"/>
      <c r="C105" s="237"/>
      <c r="D105" s="238"/>
      <c r="E105" s="237"/>
      <c r="F105" s="238"/>
      <c r="G105" s="198"/>
      <c r="H105" s="199"/>
      <c r="I105" s="331" t="s">
        <v>180</v>
      </c>
      <c r="J105" s="332"/>
      <c r="K105" s="332"/>
      <c r="L105" s="332"/>
      <c r="M105" s="332"/>
      <c r="N105" s="332"/>
      <c r="O105" s="332"/>
      <c r="P105" s="332"/>
      <c r="Q105" s="332"/>
      <c r="R105" s="332"/>
      <c r="S105" s="333"/>
      <c r="T105" s="227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9"/>
      <c r="AE105" s="156"/>
      <c r="AF105" s="156"/>
      <c r="AG105" s="156"/>
      <c r="AH105" s="156"/>
      <c r="AI105" s="156"/>
      <c r="AJ105" s="156"/>
      <c r="AK105" s="156"/>
      <c r="AL105" s="156"/>
      <c r="AM105" s="222"/>
      <c r="AN105" s="222"/>
      <c r="AO105" s="223"/>
      <c r="AR105" s="82"/>
      <c r="AS105" s="82"/>
      <c r="AT105" s="82"/>
    </row>
    <row r="106" spans="2:46" ht="42.6" customHeight="1" thickBot="1">
      <c r="B106" s="162"/>
      <c r="C106" s="211"/>
      <c r="D106" s="212"/>
      <c r="E106" s="211"/>
      <c r="F106" s="212"/>
      <c r="G106" s="200"/>
      <c r="H106" s="179"/>
      <c r="I106" s="348" t="s">
        <v>158</v>
      </c>
      <c r="J106" s="349"/>
      <c r="K106" s="349"/>
      <c r="L106" s="349"/>
      <c r="M106" s="349"/>
      <c r="N106" s="349"/>
      <c r="O106" s="349"/>
      <c r="P106" s="349"/>
      <c r="Q106" s="349"/>
      <c r="R106" s="349"/>
      <c r="S106" s="350"/>
      <c r="T106" s="157" t="s">
        <v>269</v>
      </c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9"/>
      <c r="AE106" s="183"/>
      <c r="AF106" s="183"/>
      <c r="AG106" s="183"/>
      <c r="AH106" s="183"/>
      <c r="AI106" s="183"/>
      <c r="AJ106" s="183"/>
      <c r="AK106" s="183"/>
      <c r="AL106" s="183"/>
      <c r="AM106" s="184"/>
      <c r="AN106" s="184"/>
      <c r="AO106" s="185"/>
      <c r="AR106" s="82"/>
      <c r="AS106" s="82"/>
      <c r="AT106" s="82"/>
    </row>
    <row r="107" spans="2:46" ht="42.6" customHeight="1">
      <c r="B107" s="160">
        <v>8</v>
      </c>
      <c r="C107" s="203" t="s">
        <v>160</v>
      </c>
      <c r="D107" s="358"/>
      <c r="E107" s="358"/>
      <c r="F107" s="204"/>
      <c r="G107" s="196">
        <v>0</v>
      </c>
      <c r="H107" s="197"/>
      <c r="I107" s="224" t="s">
        <v>243</v>
      </c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  <c r="AA107" s="225"/>
      <c r="AB107" s="225"/>
      <c r="AC107" s="225"/>
      <c r="AD107" s="226"/>
      <c r="AE107" s="180"/>
      <c r="AF107" s="180"/>
      <c r="AG107" s="180"/>
      <c r="AH107" s="180"/>
      <c r="AI107" s="180"/>
      <c r="AJ107" s="180"/>
      <c r="AK107" s="180"/>
      <c r="AL107" s="180"/>
      <c r="AM107" s="181"/>
      <c r="AN107" s="181"/>
      <c r="AO107" s="182"/>
      <c r="AR107" s="82"/>
      <c r="AS107" s="82"/>
      <c r="AT107" s="82"/>
    </row>
    <row r="108" spans="2:46" ht="42.6" customHeight="1">
      <c r="B108" s="161"/>
      <c r="C108" s="237"/>
      <c r="D108" s="267"/>
      <c r="E108" s="267"/>
      <c r="F108" s="238"/>
      <c r="G108" s="198"/>
      <c r="H108" s="199"/>
      <c r="I108" s="213" t="s">
        <v>145</v>
      </c>
      <c r="J108" s="214"/>
      <c r="K108" s="214"/>
      <c r="L108" s="214"/>
      <c r="M108" s="214"/>
      <c r="N108" s="214"/>
      <c r="O108" s="214"/>
      <c r="P108" s="214"/>
      <c r="Q108" s="214"/>
      <c r="R108" s="214"/>
      <c r="S108" s="215"/>
      <c r="T108" s="73"/>
      <c r="U108" s="74"/>
      <c r="V108" s="74"/>
      <c r="W108" s="74"/>
      <c r="X108" s="74"/>
      <c r="Y108" s="74"/>
      <c r="Z108" s="74"/>
      <c r="AA108" s="74"/>
      <c r="AB108" s="74"/>
      <c r="AC108" s="74"/>
      <c r="AD108" s="75"/>
      <c r="AE108" s="156"/>
      <c r="AF108" s="156"/>
      <c r="AG108" s="156"/>
      <c r="AH108" s="156"/>
      <c r="AI108" s="156"/>
      <c r="AJ108" s="156"/>
      <c r="AK108" s="156"/>
      <c r="AL108" s="156"/>
      <c r="AM108" s="222"/>
      <c r="AN108" s="222"/>
      <c r="AO108" s="223"/>
      <c r="AR108" s="82"/>
      <c r="AS108" s="82"/>
      <c r="AT108" s="82"/>
    </row>
    <row r="109" spans="2:46" ht="42.6" customHeight="1">
      <c r="B109" s="161"/>
      <c r="C109" s="237"/>
      <c r="D109" s="267"/>
      <c r="E109" s="267"/>
      <c r="F109" s="238"/>
      <c r="G109" s="198"/>
      <c r="H109" s="199"/>
      <c r="I109" s="213" t="s">
        <v>146</v>
      </c>
      <c r="J109" s="214"/>
      <c r="K109" s="214"/>
      <c r="L109" s="214"/>
      <c r="M109" s="214"/>
      <c r="N109" s="214"/>
      <c r="O109" s="214"/>
      <c r="P109" s="214"/>
      <c r="Q109" s="214"/>
      <c r="R109" s="214"/>
      <c r="S109" s="215"/>
      <c r="T109" s="227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9"/>
      <c r="AE109" s="156"/>
      <c r="AF109" s="156"/>
      <c r="AG109" s="156"/>
      <c r="AH109" s="156"/>
      <c r="AI109" s="156"/>
      <c r="AJ109" s="156"/>
      <c r="AK109" s="156"/>
      <c r="AL109" s="156"/>
      <c r="AM109" s="222"/>
      <c r="AN109" s="222"/>
      <c r="AO109" s="223"/>
      <c r="AR109" s="82"/>
      <c r="AS109" s="82"/>
      <c r="AT109" s="82"/>
    </row>
    <row r="110" spans="2:46" ht="42.6" customHeight="1">
      <c r="B110" s="161"/>
      <c r="C110" s="237"/>
      <c r="D110" s="267"/>
      <c r="E110" s="267"/>
      <c r="F110" s="238"/>
      <c r="G110" s="198"/>
      <c r="H110" s="199"/>
      <c r="I110" s="213" t="s">
        <v>179</v>
      </c>
      <c r="J110" s="214"/>
      <c r="K110" s="214"/>
      <c r="L110" s="214"/>
      <c r="M110" s="214"/>
      <c r="N110" s="214"/>
      <c r="O110" s="214"/>
      <c r="P110" s="214"/>
      <c r="Q110" s="214"/>
      <c r="R110" s="214"/>
      <c r="S110" s="215"/>
      <c r="T110" s="227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9"/>
      <c r="AE110" s="156"/>
      <c r="AF110" s="156"/>
      <c r="AG110" s="156"/>
      <c r="AH110" s="156"/>
      <c r="AI110" s="156"/>
      <c r="AJ110" s="156"/>
      <c r="AK110" s="156"/>
      <c r="AL110" s="156"/>
      <c r="AM110" s="222"/>
      <c r="AN110" s="222"/>
      <c r="AO110" s="223"/>
      <c r="AR110" s="82"/>
      <c r="AS110" s="82"/>
      <c r="AT110" s="82"/>
    </row>
    <row r="111" spans="2:46" ht="42.6" customHeight="1" thickBot="1">
      <c r="B111" s="162"/>
      <c r="C111" s="211"/>
      <c r="D111" s="310"/>
      <c r="E111" s="310"/>
      <c r="F111" s="212"/>
      <c r="G111" s="200"/>
      <c r="H111" s="179"/>
      <c r="I111" s="219" t="s">
        <v>161</v>
      </c>
      <c r="J111" s="220"/>
      <c r="K111" s="220"/>
      <c r="L111" s="220"/>
      <c r="M111" s="220"/>
      <c r="N111" s="220"/>
      <c r="O111" s="220"/>
      <c r="P111" s="220"/>
      <c r="Q111" s="220"/>
      <c r="R111" s="220"/>
      <c r="S111" s="221"/>
      <c r="T111" s="157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9"/>
      <c r="AE111" s="183"/>
      <c r="AF111" s="183"/>
      <c r="AG111" s="183"/>
      <c r="AH111" s="183"/>
      <c r="AI111" s="183"/>
      <c r="AJ111" s="183"/>
      <c r="AK111" s="183"/>
      <c r="AL111" s="183"/>
      <c r="AM111" s="184"/>
      <c r="AN111" s="184"/>
      <c r="AO111" s="185"/>
      <c r="AR111" s="82"/>
      <c r="AS111" s="81"/>
      <c r="AT111" s="81"/>
    </row>
    <row r="112" spans="2:46" ht="42.6" customHeight="1">
      <c r="B112" s="160">
        <v>9</v>
      </c>
      <c r="C112" s="203" t="s">
        <v>188</v>
      </c>
      <c r="D112" s="204"/>
      <c r="E112" s="203" t="s">
        <v>30</v>
      </c>
      <c r="F112" s="204"/>
      <c r="G112" s="196">
        <v>0</v>
      </c>
      <c r="H112" s="197"/>
      <c r="I112" s="224" t="s">
        <v>243</v>
      </c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  <c r="AA112" s="225"/>
      <c r="AB112" s="225"/>
      <c r="AC112" s="225"/>
      <c r="AD112" s="226"/>
      <c r="AE112" s="180"/>
      <c r="AF112" s="180"/>
      <c r="AG112" s="180"/>
      <c r="AH112" s="180"/>
      <c r="AI112" s="180"/>
      <c r="AJ112" s="180"/>
      <c r="AK112" s="180"/>
      <c r="AL112" s="180"/>
      <c r="AM112" s="181"/>
      <c r="AN112" s="181"/>
      <c r="AO112" s="182"/>
      <c r="AR112" s="82"/>
      <c r="AS112" s="81"/>
      <c r="AT112" s="81"/>
    </row>
    <row r="113" spans="2:46" ht="42.6" customHeight="1">
      <c r="B113" s="161"/>
      <c r="C113" s="237"/>
      <c r="D113" s="238"/>
      <c r="E113" s="205"/>
      <c r="F113" s="206"/>
      <c r="G113" s="207"/>
      <c r="H113" s="208"/>
      <c r="I113" s="213" t="s">
        <v>178</v>
      </c>
      <c r="J113" s="214"/>
      <c r="K113" s="214"/>
      <c r="L113" s="214"/>
      <c r="M113" s="214"/>
      <c r="N113" s="214"/>
      <c r="O113" s="214"/>
      <c r="P113" s="214"/>
      <c r="Q113" s="214"/>
      <c r="R113" s="214"/>
      <c r="S113" s="215"/>
      <c r="T113" s="227"/>
      <c r="U113" s="228"/>
      <c r="V113" s="228"/>
      <c r="W113" s="228"/>
      <c r="X113" s="228"/>
      <c r="Y113" s="228"/>
      <c r="Z113" s="228"/>
      <c r="AA113" s="228"/>
      <c r="AB113" s="228"/>
      <c r="AC113" s="228"/>
      <c r="AD113" s="229"/>
      <c r="AE113" s="156"/>
      <c r="AF113" s="156"/>
      <c r="AG113" s="156"/>
      <c r="AH113" s="156"/>
      <c r="AI113" s="156"/>
      <c r="AJ113" s="156"/>
      <c r="AK113" s="156"/>
      <c r="AL113" s="156"/>
      <c r="AM113" s="222"/>
      <c r="AN113" s="222"/>
      <c r="AO113" s="223"/>
      <c r="AR113" s="82"/>
      <c r="AS113" s="82"/>
      <c r="AT113" s="82"/>
    </row>
    <row r="114" spans="2:46" ht="42.6" customHeight="1">
      <c r="B114" s="161"/>
      <c r="C114" s="237"/>
      <c r="D114" s="238"/>
      <c r="E114" s="209" t="s">
        <v>46</v>
      </c>
      <c r="F114" s="210"/>
      <c r="G114" s="201">
        <v>0</v>
      </c>
      <c r="H114" s="202"/>
      <c r="I114" s="227" t="s">
        <v>243</v>
      </c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8"/>
      <c r="Y114" s="228"/>
      <c r="Z114" s="228"/>
      <c r="AA114" s="228"/>
      <c r="AB114" s="228"/>
      <c r="AC114" s="228"/>
      <c r="AD114" s="229"/>
      <c r="AE114" s="156"/>
      <c r="AF114" s="156"/>
      <c r="AG114" s="156"/>
      <c r="AH114" s="156"/>
      <c r="AI114" s="156"/>
      <c r="AJ114" s="156"/>
      <c r="AK114" s="156"/>
      <c r="AL114" s="156"/>
      <c r="AM114" s="222"/>
      <c r="AN114" s="222"/>
      <c r="AO114" s="223"/>
      <c r="AR114" s="82"/>
      <c r="AS114" s="82"/>
      <c r="AT114" s="82"/>
    </row>
    <row r="115" spans="2:46" ht="42.6" customHeight="1">
      <c r="B115" s="161"/>
      <c r="C115" s="237"/>
      <c r="D115" s="238"/>
      <c r="E115" s="237"/>
      <c r="F115" s="238"/>
      <c r="G115" s="198"/>
      <c r="H115" s="199"/>
      <c r="I115" s="213" t="s">
        <v>147</v>
      </c>
      <c r="J115" s="214"/>
      <c r="K115" s="214"/>
      <c r="L115" s="214"/>
      <c r="M115" s="214"/>
      <c r="N115" s="214"/>
      <c r="O115" s="214"/>
      <c r="P115" s="214"/>
      <c r="Q115" s="214"/>
      <c r="R115" s="214"/>
      <c r="S115" s="215"/>
      <c r="T115" s="227"/>
      <c r="U115" s="228"/>
      <c r="V115" s="228"/>
      <c r="W115" s="228"/>
      <c r="X115" s="228"/>
      <c r="Y115" s="228"/>
      <c r="Z115" s="228"/>
      <c r="AA115" s="228"/>
      <c r="AB115" s="228"/>
      <c r="AC115" s="228"/>
      <c r="AD115" s="229"/>
      <c r="AE115" s="156"/>
      <c r="AF115" s="156"/>
      <c r="AG115" s="156"/>
      <c r="AH115" s="156"/>
      <c r="AI115" s="156"/>
      <c r="AJ115" s="156"/>
      <c r="AK115" s="156"/>
      <c r="AL115" s="156"/>
      <c r="AM115" s="222"/>
      <c r="AN115" s="222"/>
      <c r="AO115" s="223"/>
      <c r="AR115" s="82"/>
      <c r="AS115" s="82"/>
      <c r="AT115" s="82"/>
    </row>
    <row r="116" spans="2:46" ht="42.6" customHeight="1">
      <c r="B116" s="161"/>
      <c r="C116" s="237"/>
      <c r="D116" s="238"/>
      <c r="E116" s="205"/>
      <c r="F116" s="206"/>
      <c r="G116" s="207"/>
      <c r="H116" s="208"/>
      <c r="I116" s="213" t="s">
        <v>148</v>
      </c>
      <c r="J116" s="214"/>
      <c r="K116" s="214"/>
      <c r="L116" s="214"/>
      <c r="M116" s="214"/>
      <c r="N116" s="214"/>
      <c r="O116" s="214"/>
      <c r="P116" s="214"/>
      <c r="Q116" s="214"/>
      <c r="R116" s="214"/>
      <c r="S116" s="215"/>
      <c r="T116" s="227"/>
      <c r="U116" s="228"/>
      <c r="V116" s="228"/>
      <c r="W116" s="228"/>
      <c r="X116" s="228"/>
      <c r="Y116" s="228"/>
      <c r="Z116" s="228"/>
      <c r="AA116" s="228"/>
      <c r="AB116" s="228"/>
      <c r="AC116" s="228"/>
      <c r="AD116" s="229"/>
      <c r="AE116" s="156"/>
      <c r="AF116" s="156"/>
      <c r="AG116" s="156"/>
      <c r="AH116" s="156"/>
      <c r="AI116" s="156"/>
      <c r="AJ116" s="156"/>
      <c r="AK116" s="156"/>
      <c r="AL116" s="156"/>
      <c r="AM116" s="222"/>
      <c r="AN116" s="222"/>
      <c r="AO116" s="223"/>
      <c r="AR116" s="82"/>
      <c r="AS116" s="82"/>
      <c r="AT116" s="82"/>
    </row>
    <row r="117" spans="2:46" ht="42.6" customHeight="1">
      <c r="B117" s="161"/>
      <c r="C117" s="237"/>
      <c r="D117" s="238"/>
      <c r="E117" s="209" t="s">
        <v>17</v>
      </c>
      <c r="F117" s="210"/>
      <c r="G117" s="201">
        <v>0</v>
      </c>
      <c r="H117" s="202"/>
      <c r="I117" s="227" t="s">
        <v>243</v>
      </c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  <c r="V117" s="228"/>
      <c r="W117" s="228"/>
      <c r="X117" s="228"/>
      <c r="Y117" s="228"/>
      <c r="Z117" s="228"/>
      <c r="AA117" s="228"/>
      <c r="AB117" s="228"/>
      <c r="AC117" s="228"/>
      <c r="AD117" s="229"/>
      <c r="AE117" s="156"/>
      <c r="AF117" s="156"/>
      <c r="AG117" s="156"/>
      <c r="AH117" s="156"/>
      <c r="AI117" s="156"/>
      <c r="AJ117" s="156"/>
      <c r="AK117" s="156"/>
      <c r="AL117" s="156"/>
      <c r="AM117" s="222"/>
      <c r="AN117" s="222"/>
      <c r="AO117" s="223"/>
      <c r="AR117" s="82"/>
      <c r="AS117" s="82"/>
      <c r="AT117" s="82"/>
    </row>
    <row r="118" spans="2:46" ht="42.6" customHeight="1">
      <c r="B118" s="161"/>
      <c r="C118" s="237"/>
      <c r="D118" s="238"/>
      <c r="E118" s="237"/>
      <c r="F118" s="238"/>
      <c r="G118" s="198"/>
      <c r="H118" s="199"/>
      <c r="I118" s="213" t="s">
        <v>177</v>
      </c>
      <c r="J118" s="214"/>
      <c r="K118" s="214"/>
      <c r="L118" s="214"/>
      <c r="M118" s="214"/>
      <c r="N118" s="214"/>
      <c r="O118" s="214"/>
      <c r="P118" s="214"/>
      <c r="Q118" s="214"/>
      <c r="R118" s="214"/>
      <c r="S118" s="215"/>
      <c r="T118" s="227"/>
      <c r="U118" s="228"/>
      <c r="V118" s="228"/>
      <c r="W118" s="228"/>
      <c r="X118" s="228"/>
      <c r="Y118" s="228"/>
      <c r="Z118" s="228"/>
      <c r="AA118" s="228"/>
      <c r="AB118" s="228"/>
      <c r="AC118" s="228"/>
      <c r="AD118" s="229"/>
      <c r="AE118" s="156"/>
      <c r="AF118" s="156"/>
      <c r="AG118" s="156"/>
      <c r="AH118" s="156"/>
      <c r="AI118" s="156"/>
      <c r="AJ118" s="156"/>
      <c r="AK118" s="156"/>
      <c r="AL118" s="156"/>
      <c r="AM118" s="222"/>
      <c r="AN118" s="222"/>
      <c r="AO118" s="223"/>
      <c r="AR118" s="82"/>
      <c r="AS118" s="82"/>
      <c r="AT118" s="82"/>
    </row>
    <row r="119" spans="2:46" ht="42.6" customHeight="1" thickBot="1">
      <c r="B119" s="162"/>
      <c r="C119" s="211"/>
      <c r="D119" s="212"/>
      <c r="E119" s="211"/>
      <c r="F119" s="212"/>
      <c r="G119" s="200"/>
      <c r="H119" s="179"/>
      <c r="I119" s="248" t="s">
        <v>162</v>
      </c>
      <c r="J119" s="249"/>
      <c r="K119" s="249"/>
      <c r="L119" s="249"/>
      <c r="M119" s="249"/>
      <c r="N119" s="249"/>
      <c r="O119" s="249"/>
      <c r="P119" s="249"/>
      <c r="Q119" s="249"/>
      <c r="R119" s="249"/>
      <c r="S119" s="250"/>
      <c r="T119" s="157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9"/>
      <c r="AE119" s="183"/>
      <c r="AF119" s="183"/>
      <c r="AG119" s="183"/>
      <c r="AH119" s="183"/>
      <c r="AI119" s="183"/>
      <c r="AJ119" s="183"/>
      <c r="AK119" s="183"/>
      <c r="AL119" s="183"/>
      <c r="AM119" s="184"/>
      <c r="AN119" s="184"/>
      <c r="AO119" s="185"/>
      <c r="AR119" s="82"/>
      <c r="AS119" s="81"/>
      <c r="AT119" s="81"/>
    </row>
    <row r="120" spans="2:46" ht="42.6" customHeight="1">
      <c r="B120" s="160">
        <v>10</v>
      </c>
      <c r="C120" s="203" t="s">
        <v>165</v>
      </c>
      <c r="D120" s="358"/>
      <c r="E120" s="358"/>
      <c r="F120" s="204"/>
      <c r="G120" s="196">
        <v>0.5</v>
      </c>
      <c r="H120" s="197"/>
      <c r="I120" s="224" t="s">
        <v>272</v>
      </c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  <c r="AB120" s="225"/>
      <c r="AC120" s="225"/>
      <c r="AD120" s="226"/>
      <c r="AE120" s="180"/>
      <c r="AF120" s="180"/>
      <c r="AG120" s="180"/>
      <c r="AH120" s="180"/>
      <c r="AI120" s="180"/>
      <c r="AJ120" s="180"/>
      <c r="AK120" s="180"/>
      <c r="AL120" s="180"/>
      <c r="AM120" s="181"/>
      <c r="AN120" s="181"/>
      <c r="AO120" s="182"/>
      <c r="AR120" s="82"/>
      <c r="AS120" s="81"/>
      <c r="AT120" s="81"/>
    </row>
    <row r="121" spans="2:46" ht="42.6" customHeight="1">
      <c r="B121" s="161"/>
      <c r="C121" s="237"/>
      <c r="D121" s="267"/>
      <c r="E121" s="267"/>
      <c r="F121" s="238"/>
      <c r="G121" s="198"/>
      <c r="H121" s="199"/>
      <c r="I121" s="213" t="s">
        <v>152</v>
      </c>
      <c r="J121" s="214"/>
      <c r="K121" s="214"/>
      <c r="L121" s="214"/>
      <c r="M121" s="214"/>
      <c r="N121" s="214"/>
      <c r="O121" s="214"/>
      <c r="P121" s="214"/>
      <c r="Q121" s="214"/>
      <c r="R121" s="214"/>
      <c r="S121" s="215"/>
      <c r="T121" s="227"/>
      <c r="U121" s="228"/>
      <c r="V121" s="228"/>
      <c r="W121" s="228"/>
      <c r="X121" s="228"/>
      <c r="Y121" s="228"/>
      <c r="Z121" s="228"/>
      <c r="AA121" s="228"/>
      <c r="AB121" s="228"/>
      <c r="AC121" s="228"/>
      <c r="AD121" s="229"/>
      <c r="AE121" s="156"/>
      <c r="AF121" s="156"/>
      <c r="AG121" s="156"/>
      <c r="AH121" s="156"/>
      <c r="AI121" s="156"/>
      <c r="AJ121" s="156"/>
      <c r="AK121" s="156"/>
      <c r="AL121" s="156"/>
      <c r="AM121" s="222"/>
      <c r="AN121" s="222"/>
      <c r="AO121" s="223"/>
      <c r="AR121" s="82"/>
      <c r="AS121" s="81"/>
      <c r="AT121" s="81"/>
    </row>
    <row r="122" spans="2:46" ht="42.6" customHeight="1" thickBot="1">
      <c r="B122" s="162"/>
      <c r="C122" s="211"/>
      <c r="D122" s="310"/>
      <c r="E122" s="310"/>
      <c r="F122" s="212"/>
      <c r="G122" s="200"/>
      <c r="H122" s="179"/>
      <c r="I122" s="248" t="s">
        <v>166</v>
      </c>
      <c r="J122" s="249"/>
      <c r="K122" s="249"/>
      <c r="L122" s="249"/>
      <c r="M122" s="249"/>
      <c r="N122" s="249"/>
      <c r="O122" s="249"/>
      <c r="P122" s="249"/>
      <c r="Q122" s="249"/>
      <c r="R122" s="249"/>
      <c r="S122" s="250"/>
      <c r="T122" s="157" t="s">
        <v>275</v>
      </c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9"/>
      <c r="AE122" s="183"/>
      <c r="AF122" s="183"/>
      <c r="AG122" s="183"/>
      <c r="AH122" s="183"/>
      <c r="AI122" s="183"/>
      <c r="AJ122" s="183"/>
      <c r="AK122" s="183"/>
      <c r="AL122" s="183"/>
      <c r="AM122" s="184"/>
      <c r="AN122" s="184"/>
      <c r="AO122" s="185"/>
      <c r="AR122" s="82"/>
      <c r="AS122" s="81"/>
      <c r="AT122" s="81"/>
    </row>
    <row r="123" spans="2:46" ht="42.6" customHeight="1">
      <c r="B123" s="160">
        <v>11</v>
      </c>
      <c r="C123" s="203" t="s">
        <v>187</v>
      </c>
      <c r="D123" s="358"/>
      <c r="E123" s="358"/>
      <c r="F123" s="204"/>
      <c r="G123" s="239">
        <v>0.3</v>
      </c>
      <c r="H123" s="240"/>
      <c r="I123" s="224" t="s">
        <v>262</v>
      </c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  <c r="AA123" s="225"/>
      <c r="AB123" s="225"/>
      <c r="AC123" s="225"/>
      <c r="AD123" s="226"/>
      <c r="AE123" s="231"/>
      <c r="AF123" s="232"/>
      <c r="AG123" s="232"/>
      <c r="AH123" s="232"/>
      <c r="AI123" s="232"/>
      <c r="AJ123" s="232"/>
      <c r="AK123" s="232"/>
      <c r="AL123" s="233"/>
      <c r="AM123" s="234"/>
      <c r="AN123" s="235"/>
      <c r="AO123" s="236"/>
      <c r="AR123" s="82"/>
      <c r="AS123" s="81"/>
      <c r="AT123" s="81"/>
    </row>
    <row r="124" spans="2:46" ht="42.6" customHeight="1">
      <c r="B124" s="161"/>
      <c r="C124" s="237"/>
      <c r="D124" s="267"/>
      <c r="E124" s="267"/>
      <c r="F124" s="238"/>
      <c r="G124" s="241"/>
      <c r="H124" s="242"/>
      <c r="I124" s="213" t="s">
        <v>149</v>
      </c>
      <c r="J124" s="214"/>
      <c r="K124" s="214"/>
      <c r="L124" s="214"/>
      <c r="M124" s="214"/>
      <c r="N124" s="214"/>
      <c r="O124" s="214"/>
      <c r="P124" s="214"/>
      <c r="Q124" s="214"/>
      <c r="R124" s="214"/>
      <c r="S124" s="215"/>
      <c r="T124" s="227"/>
      <c r="U124" s="228"/>
      <c r="V124" s="228"/>
      <c r="W124" s="228"/>
      <c r="X124" s="228"/>
      <c r="Y124" s="228"/>
      <c r="Z124" s="228"/>
      <c r="AA124" s="228"/>
      <c r="AB124" s="228"/>
      <c r="AC124" s="228"/>
      <c r="AD124" s="229"/>
      <c r="AE124" s="156"/>
      <c r="AF124" s="156"/>
      <c r="AG124" s="156"/>
      <c r="AH124" s="156"/>
      <c r="AI124" s="156"/>
      <c r="AJ124" s="156"/>
      <c r="AK124" s="156"/>
      <c r="AL124" s="156"/>
      <c r="AM124" s="222"/>
      <c r="AN124" s="222"/>
      <c r="AO124" s="223"/>
      <c r="AR124" s="82"/>
      <c r="AS124" s="82"/>
      <c r="AT124" s="82"/>
    </row>
    <row r="125" spans="2:46" ht="42.6" customHeight="1">
      <c r="B125" s="161"/>
      <c r="C125" s="237"/>
      <c r="D125" s="267"/>
      <c r="E125" s="267"/>
      <c r="F125" s="238"/>
      <c r="G125" s="241"/>
      <c r="H125" s="242"/>
      <c r="I125" s="213" t="s">
        <v>150</v>
      </c>
      <c r="J125" s="214"/>
      <c r="K125" s="214"/>
      <c r="L125" s="214"/>
      <c r="M125" s="214"/>
      <c r="N125" s="214"/>
      <c r="O125" s="214"/>
      <c r="P125" s="214"/>
      <c r="Q125" s="214"/>
      <c r="R125" s="214"/>
      <c r="S125" s="215"/>
      <c r="T125" s="227"/>
      <c r="U125" s="228"/>
      <c r="V125" s="228"/>
      <c r="W125" s="228"/>
      <c r="X125" s="228"/>
      <c r="Y125" s="228"/>
      <c r="Z125" s="228"/>
      <c r="AA125" s="228"/>
      <c r="AB125" s="228"/>
      <c r="AC125" s="228"/>
      <c r="AD125" s="229"/>
      <c r="AE125" s="156"/>
      <c r="AF125" s="156"/>
      <c r="AG125" s="156"/>
      <c r="AH125" s="156"/>
      <c r="AI125" s="156"/>
      <c r="AJ125" s="156"/>
      <c r="AK125" s="156"/>
      <c r="AL125" s="156"/>
      <c r="AM125" s="222"/>
      <c r="AN125" s="222"/>
      <c r="AO125" s="223"/>
      <c r="AR125" s="82"/>
      <c r="AS125" s="82"/>
      <c r="AT125" s="82"/>
    </row>
    <row r="126" spans="2:46" ht="42.6" customHeight="1">
      <c r="B126" s="161"/>
      <c r="C126" s="237"/>
      <c r="D126" s="267"/>
      <c r="E126" s="267"/>
      <c r="F126" s="238"/>
      <c r="G126" s="241"/>
      <c r="H126" s="242"/>
      <c r="I126" s="213" t="s">
        <v>151</v>
      </c>
      <c r="J126" s="214"/>
      <c r="K126" s="214"/>
      <c r="L126" s="214"/>
      <c r="M126" s="214"/>
      <c r="N126" s="214"/>
      <c r="O126" s="214"/>
      <c r="P126" s="214"/>
      <c r="Q126" s="214"/>
      <c r="R126" s="214"/>
      <c r="S126" s="215"/>
      <c r="T126" s="227"/>
      <c r="U126" s="228"/>
      <c r="V126" s="228"/>
      <c r="W126" s="228"/>
      <c r="X126" s="228"/>
      <c r="Y126" s="228"/>
      <c r="Z126" s="228"/>
      <c r="AA126" s="228"/>
      <c r="AB126" s="228"/>
      <c r="AC126" s="228"/>
      <c r="AD126" s="229"/>
      <c r="AE126" s="156"/>
      <c r="AF126" s="156"/>
      <c r="AG126" s="156"/>
      <c r="AH126" s="156"/>
      <c r="AI126" s="156"/>
      <c r="AJ126" s="156"/>
      <c r="AK126" s="156"/>
      <c r="AL126" s="156"/>
      <c r="AM126" s="222"/>
      <c r="AN126" s="222"/>
      <c r="AO126" s="223"/>
      <c r="AR126" s="82"/>
      <c r="AS126" s="82"/>
      <c r="AT126" s="82"/>
    </row>
    <row r="127" spans="2:46" ht="42.6" customHeight="1">
      <c r="B127" s="161"/>
      <c r="C127" s="237"/>
      <c r="D127" s="267"/>
      <c r="E127" s="267"/>
      <c r="F127" s="238"/>
      <c r="G127" s="241"/>
      <c r="H127" s="242"/>
      <c r="I127" s="213" t="s">
        <v>186</v>
      </c>
      <c r="J127" s="214"/>
      <c r="K127" s="214"/>
      <c r="L127" s="214"/>
      <c r="M127" s="214"/>
      <c r="N127" s="214"/>
      <c r="O127" s="214"/>
      <c r="P127" s="214"/>
      <c r="Q127" s="214"/>
      <c r="R127" s="214"/>
      <c r="S127" s="215"/>
      <c r="T127" s="73"/>
      <c r="U127" s="74"/>
      <c r="V127" s="74"/>
      <c r="W127" s="74"/>
      <c r="X127" s="74"/>
      <c r="Y127" s="74"/>
      <c r="Z127" s="74"/>
      <c r="AA127" s="74"/>
      <c r="AB127" s="74"/>
      <c r="AC127" s="74"/>
      <c r="AD127" s="75"/>
      <c r="AE127" s="213"/>
      <c r="AF127" s="214"/>
      <c r="AG127" s="214"/>
      <c r="AH127" s="214"/>
      <c r="AI127" s="214"/>
      <c r="AJ127" s="214"/>
      <c r="AK127" s="214"/>
      <c r="AL127" s="215"/>
      <c r="AM127" s="216"/>
      <c r="AN127" s="217"/>
      <c r="AO127" s="218"/>
      <c r="AR127" s="82"/>
      <c r="AS127" s="82"/>
      <c r="AT127" s="82"/>
    </row>
    <row r="128" spans="2:46" ht="42.6" customHeight="1" thickBot="1">
      <c r="B128" s="162"/>
      <c r="C128" s="211"/>
      <c r="D128" s="310"/>
      <c r="E128" s="310"/>
      <c r="F128" s="212"/>
      <c r="G128" s="178"/>
      <c r="H128" s="243"/>
      <c r="I128" s="248" t="s">
        <v>163</v>
      </c>
      <c r="J128" s="249"/>
      <c r="K128" s="249"/>
      <c r="L128" s="249"/>
      <c r="M128" s="249"/>
      <c r="N128" s="249"/>
      <c r="O128" s="249"/>
      <c r="P128" s="249"/>
      <c r="Q128" s="249"/>
      <c r="R128" s="249"/>
      <c r="S128" s="250"/>
      <c r="T128" s="157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9"/>
      <c r="AE128" s="183"/>
      <c r="AF128" s="183"/>
      <c r="AG128" s="183"/>
      <c r="AH128" s="183"/>
      <c r="AI128" s="183"/>
      <c r="AJ128" s="183"/>
      <c r="AK128" s="183"/>
      <c r="AL128" s="183"/>
      <c r="AM128" s="184"/>
      <c r="AN128" s="184"/>
      <c r="AO128" s="185"/>
      <c r="AR128" s="82"/>
      <c r="AS128" s="81"/>
      <c r="AT128" s="81"/>
    </row>
    <row r="129" spans="2:46" ht="42.6" customHeight="1" thickBot="1">
      <c r="B129" s="89">
        <v>12</v>
      </c>
      <c r="C129" s="203" t="s">
        <v>191</v>
      </c>
      <c r="D129" s="204"/>
      <c r="E129" s="244"/>
      <c r="F129" s="245"/>
      <c r="G129" s="175"/>
      <c r="H129" s="152"/>
      <c r="I129" s="224" t="s">
        <v>271</v>
      </c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  <c r="AA129" s="225"/>
      <c r="AB129" s="225"/>
      <c r="AC129" s="225"/>
      <c r="AD129" s="226"/>
      <c r="AE129" s="180"/>
      <c r="AF129" s="180"/>
      <c r="AG129" s="180"/>
      <c r="AH129" s="180"/>
      <c r="AI129" s="180"/>
      <c r="AJ129" s="180"/>
      <c r="AK129" s="180"/>
      <c r="AL129" s="180"/>
      <c r="AM129" s="181"/>
      <c r="AN129" s="181"/>
      <c r="AO129" s="182"/>
      <c r="AR129" s="82"/>
      <c r="AS129" s="81"/>
      <c r="AT129" s="81"/>
    </row>
    <row r="130" spans="2:46" ht="42.6" customHeight="1" thickBot="1">
      <c r="B130" s="89">
        <v>13</v>
      </c>
      <c r="C130" s="203" t="s">
        <v>197</v>
      </c>
      <c r="D130" s="204"/>
      <c r="E130" s="244"/>
      <c r="F130" s="245"/>
      <c r="G130" s="151" t="s">
        <v>36</v>
      </c>
      <c r="H130" s="152"/>
      <c r="I130" s="386" t="s">
        <v>271</v>
      </c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  <c r="AB130" s="225"/>
      <c r="AC130" s="225"/>
      <c r="AD130" s="226"/>
      <c r="AE130" s="180"/>
      <c r="AF130" s="180"/>
      <c r="AG130" s="180"/>
      <c r="AH130" s="180"/>
      <c r="AI130" s="180"/>
      <c r="AJ130" s="180"/>
      <c r="AK130" s="180"/>
      <c r="AL130" s="180"/>
      <c r="AM130" s="181"/>
      <c r="AN130" s="181"/>
      <c r="AO130" s="182"/>
      <c r="AR130" s="82"/>
      <c r="AS130" s="81"/>
      <c r="AT130" s="81"/>
    </row>
    <row r="131" spans="2:46" ht="42.6" customHeight="1" thickBot="1">
      <c r="B131" s="160">
        <v>13</v>
      </c>
      <c r="C131" s="203" t="s">
        <v>156</v>
      </c>
      <c r="D131" s="204"/>
      <c r="E131" s="244" t="s">
        <v>270</v>
      </c>
      <c r="F131" s="245"/>
      <c r="G131" s="151">
        <v>1</v>
      </c>
      <c r="H131" s="152"/>
      <c r="I131" s="386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  <c r="AA131" s="225"/>
      <c r="AB131" s="225"/>
      <c r="AC131" s="225"/>
      <c r="AD131" s="226"/>
      <c r="AE131" s="88"/>
      <c r="AF131" s="88"/>
      <c r="AG131" s="88"/>
      <c r="AH131" s="88"/>
      <c r="AI131" s="88"/>
      <c r="AJ131" s="88"/>
      <c r="AK131" s="88"/>
      <c r="AL131" s="88"/>
      <c r="AM131" s="372"/>
      <c r="AN131" s="372"/>
      <c r="AO131" s="373"/>
      <c r="AR131" s="82"/>
      <c r="AS131" s="81"/>
      <c r="AT131" s="81"/>
    </row>
    <row r="132" spans="2:46" ht="42.6" customHeight="1" thickBot="1">
      <c r="B132" s="162"/>
      <c r="C132" s="211"/>
      <c r="D132" s="212"/>
      <c r="E132" s="211" t="s">
        <v>277</v>
      </c>
      <c r="F132" s="212"/>
      <c r="G132" s="178">
        <v>2.35</v>
      </c>
      <c r="H132" s="179"/>
      <c r="I132" s="374"/>
      <c r="J132" s="375"/>
      <c r="K132" s="375"/>
      <c r="L132" s="375"/>
      <c r="M132" s="375"/>
      <c r="N132" s="375"/>
      <c r="O132" s="375"/>
      <c r="P132" s="375"/>
      <c r="Q132" s="375"/>
      <c r="R132" s="375"/>
      <c r="S132" s="375"/>
      <c r="T132" s="375"/>
      <c r="U132" s="375"/>
      <c r="V132" s="375"/>
      <c r="W132" s="375"/>
      <c r="X132" s="375"/>
      <c r="Y132" s="375"/>
      <c r="Z132" s="375"/>
      <c r="AA132" s="375"/>
      <c r="AB132" s="375"/>
      <c r="AC132" s="375"/>
      <c r="AD132" s="376"/>
      <c r="AE132" s="88"/>
      <c r="AF132" s="88"/>
      <c r="AG132" s="88"/>
      <c r="AH132" s="88"/>
      <c r="AI132" s="88"/>
      <c r="AJ132" s="88"/>
      <c r="AK132" s="88"/>
      <c r="AL132" s="88"/>
      <c r="AM132" s="372"/>
      <c r="AN132" s="372"/>
      <c r="AO132" s="373"/>
      <c r="AR132" s="82"/>
      <c r="AS132" s="81"/>
      <c r="AT132" s="81"/>
    </row>
    <row r="133" spans="2:46" ht="42.6" customHeight="1" thickBot="1">
      <c r="B133" s="186" t="s">
        <v>167</v>
      </c>
      <c r="C133" s="187"/>
      <c r="D133" s="187"/>
      <c r="E133" s="187"/>
      <c r="F133" s="188"/>
      <c r="G133" s="193">
        <f>SUM(G67:H132)</f>
        <v>13.600000000000001</v>
      </c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5"/>
    </row>
  </sheetData>
  <mergeCells count="531">
    <mergeCell ref="B131:B132"/>
    <mergeCell ref="C131:D132"/>
    <mergeCell ref="E131:F131"/>
    <mergeCell ref="G131:H131"/>
    <mergeCell ref="I131:AD131"/>
    <mergeCell ref="E132:F132"/>
    <mergeCell ref="G132:H132"/>
    <mergeCell ref="I132:AD132"/>
    <mergeCell ref="E99:F106"/>
    <mergeCell ref="AE97:AL97"/>
    <mergeCell ref="AM97:AO97"/>
    <mergeCell ref="AE96:AL96"/>
    <mergeCell ref="AM96:AO96"/>
    <mergeCell ref="AE98:AL98"/>
    <mergeCell ref="AM98:AO98"/>
    <mergeCell ref="E98:F98"/>
    <mergeCell ref="AM102:AO102"/>
    <mergeCell ref="AM99:AO99"/>
    <mergeCell ref="AM100:AO100"/>
    <mergeCell ref="I102:S102"/>
    <mergeCell ref="I103:S103"/>
    <mergeCell ref="I104:S104"/>
    <mergeCell ref="I105:S105"/>
    <mergeCell ref="I106:S106"/>
    <mergeCell ref="AE100:AL100"/>
    <mergeCell ref="C67:F67"/>
    <mergeCell ref="C75:F77"/>
    <mergeCell ref="T91:AD91"/>
    <mergeCell ref="T86:AD86"/>
    <mergeCell ref="T87:AD87"/>
    <mergeCell ref="T88:AD88"/>
    <mergeCell ref="T89:AD89"/>
    <mergeCell ref="T90:AD90"/>
    <mergeCell ref="T76:AD76"/>
    <mergeCell ref="T77:AD77"/>
    <mergeCell ref="T85:AD85"/>
    <mergeCell ref="E82:F82"/>
    <mergeCell ref="G82:H82"/>
    <mergeCell ref="G81:H81"/>
    <mergeCell ref="E85:F91"/>
    <mergeCell ref="G83:H83"/>
    <mergeCell ref="I67:AD67"/>
    <mergeCell ref="I74:S74"/>
    <mergeCell ref="G68:H74"/>
    <mergeCell ref="G75:H77"/>
    <mergeCell ref="I76:S76"/>
    <mergeCell ref="I77:S77"/>
    <mergeCell ref="G78:H80"/>
    <mergeCell ref="I79:S79"/>
    <mergeCell ref="T93:AD93"/>
    <mergeCell ref="T122:AD122"/>
    <mergeCell ref="T124:AD124"/>
    <mergeCell ref="T125:AD125"/>
    <mergeCell ref="T126:AD126"/>
    <mergeCell ref="T128:AD128"/>
    <mergeCell ref="T99:AD99"/>
    <mergeCell ref="T100:AD100"/>
    <mergeCell ref="T101:AD101"/>
    <mergeCell ref="T102:AD102"/>
    <mergeCell ref="T103:AD103"/>
    <mergeCell ref="I107:AD107"/>
    <mergeCell ref="I108:S108"/>
    <mergeCell ref="I128:S128"/>
    <mergeCell ref="I123:AD123"/>
    <mergeCell ref="I120:AD120"/>
    <mergeCell ref="I121:S121"/>
    <mergeCell ref="I122:S122"/>
    <mergeCell ref="C65:F65"/>
    <mergeCell ref="G65:H65"/>
    <mergeCell ref="G67:H67"/>
    <mergeCell ref="AE68:AL68"/>
    <mergeCell ref="AM68:AO68"/>
    <mergeCell ref="AE106:AL106"/>
    <mergeCell ref="AM106:AO106"/>
    <mergeCell ref="AE105:AL105"/>
    <mergeCell ref="AM105:AO105"/>
    <mergeCell ref="AE103:AL103"/>
    <mergeCell ref="AM103:AO103"/>
    <mergeCell ref="AE104:AL104"/>
    <mergeCell ref="AM104:AO104"/>
    <mergeCell ref="AE101:AL101"/>
    <mergeCell ref="AM101:AO101"/>
    <mergeCell ref="AE102:AL102"/>
    <mergeCell ref="G95:H95"/>
    <mergeCell ref="G85:H91"/>
    <mergeCell ref="I89:S89"/>
    <mergeCell ref="I90:S90"/>
    <mergeCell ref="I91:S91"/>
    <mergeCell ref="L65:S65"/>
    <mergeCell ref="I93:S93"/>
    <mergeCell ref="I95:S95"/>
    <mergeCell ref="I96:AD96"/>
    <mergeCell ref="I97:AD97"/>
    <mergeCell ref="I98:AD98"/>
    <mergeCell ref="I99:S99"/>
    <mergeCell ref="I100:S100"/>
    <mergeCell ref="I101:S101"/>
    <mergeCell ref="AE95:AL95"/>
    <mergeCell ref="AM95:AO95"/>
    <mergeCell ref="T95:AD95"/>
    <mergeCell ref="I109:S109"/>
    <mergeCell ref="I110:S110"/>
    <mergeCell ref="I111:S111"/>
    <mergeCell ref="I112:AD112"/>
    <mergeCell ref="AE78:AL78"/>
    <mergeCell ref="AM78:AO78"/>
    <mergeCell ref="AE80:AL80"/>
    <mergeCell ref="AE126:AL126"/>
    <mergeCell ref="AM126:AO126"/>
    <mergeCell ref="AE128:AL128"/>
    <mergeCell ref="AM128:AO128"/>
    <mergeCell ref="AE93:AL93"/>
    <mergeCell ref="AM93:AO93"/>
    <mergeCell ref="AM92:AO92"/>
    <mergeCell ref="AE82:AL82"/>
    <mergeCell ref="AM82:AO82"/>
    <mergeCell ref="AE83:AL83"/>
    <mergeCell ref="AM83:AO83"/>
    <mergeCell ref="AE81:AL81"/>
    <mergeCell ref="AM81:AO81"/>
    <mergeCell ref="AE91:AL91"/>
    <mergeCell ref="AM91:AO91"/>
    <mergeCell ref="AE89:AL89"/>
    <mergeCell ref="AM89:AO89"/>
    <mergeCell ref="AE90:AL90"/>
    <mergeCell ref="AM90:AO90"/>
    <mergeCell ref="AE124:AL124"/>
    <mergeCell ref="AM124:AO124"/>
    <mergeCell ref="AE125:AL125"/>
    <mergeCell ref="AM125:AO125"/>
    <mergeCell ref="AM121:AO121"/>
    <mergeCell ref="AE122:AL122"/>
    <mergeCell ref="AM122:AO122"/>
    <mergeCell ref="T121:AD121"/>
    <mergeCell ref="AM80:AO80"/>
    <mergeCell ref="I92:AD92"/>
    <mergeCell ref="T111:AD111"/>
    <mergeCell ref="T113:AD113"/>
    <mergeCell ref="T115:AD115"/>
    <mergeCell ref="T116:AD116"/>
    <mergeCell ref="T118:AD118"/>
    <mergeCell ref="T119:AD119"/>
    <mergeCell ref="T104:AD104"/>
    <mergeCell ref="T105:AD105"/>
    <mergeCell ref="T106:AD106"/>
    <mergeCell ref="T109:AD109"/>
    <mergeCell ref="T110:AD110"/>
    <mergeCell ref="T80:AD80"/>
    <mergeCell ref="AE92:AL92"/>
    <mergeCell ref="AE99:AL99"/>
    <mergeCell ref="AE121:AL121"/>
    <mergeCell ref="AE116:AL116"/>
    <mergeCell ref="AM116:AO116"/>
    <mergeCell ref="AE118:AL118"/>
    <mergeCell ref="AM118:AO118"/>
    <mergeCell ref="AE113:AL113"/>
    <mergeCell ref="AM113:AO113"/>
    <mergeCell ref="AE115:AL115"/>
    <mergeCell ref="AM115:AO115"/>
    <mergeCell ref="AM120:AO120"/>
    <mergeCell ref="AM117:AO117"/>
    <mergeCell ref="AE119:AL119"/>
    <mergeCell ref="AM119:AO119"/>
    <mergeCell ref="AE120:AL120"/>
    <mergeCell ref="AE117:AL117"/>
    <mergeCell ref="AM110:AO110"/>
    <mergeCell ref="AE111:AL111"/>
    <mergeCell ref="AM111:AO111"/>
    <mergeCell ref="AE107:AL107"/>
    <mergeCell ref="AM107:AO107"/>
    <mergeCell ref="AE109:AL109"/>
    <mergeCell ref="AM109:AO109"/>
    <mergeCell ref="AE108:AL108"/>
    <mergeCell ref="AE112:AL112"/>
    <mergeCell ref="AM108:AO108"/>
    <mergeCell ref="AM112:AO112"/>
    <mergeCell ref="AE110:AL110"/>
    <mergeCell ref="AM87:AO87"/>
    <mergeCell ref="AE88:AL88"/>
    <mergeCell ref="AM88:AO88"/>
    <mergeCell ref="AE85:AL85"/>
    <mergeCell ref="AM85:AO85"/>
    <mergeCell ref="AE86:AL86"/>
    <mergeCell ref="AM86:AO86"/>
    <mergeCell ref="I87:S87"/>
    <mergeCell ref="I88:S88"/>
    <mergeCell ref="I86:S86"/>
    <mergeCell ref="AE66:AL66"/>
    <mergeCell ref="AM66:AO66"/>
    <mergeCell ref="AM77:AO77"/>
    <mergeCell ref="AE69:AL69"/>
    <mergeCell ref="AM69:AO69"/>
    <mergeCell ref="AE76:AL76"/>
    <mergeCell ref="AM76:AO76"/>
    <mergeCell ref="AE77:AL77"/>
    <mergeCell ref="AE67:AL67"/>
    <mergeCell ref="AM67:AO67"/>
    <mergeCell ref="AE75:AL75"/>
    <mergeCell ref="AM75:AO75"/>
    <mergeCell ref="AE74:AL74"/>
    <mergeCell ref="AM74:AO74"/>
    <mergeCell ref="AE72:AL72"/>
    <mergeCell ref="AM72:AO72"/>
    <mergeCell ref="AE73:AL73"/>
    <mergeCell ref="AM73:AO73"/>
    <mergeCell ref="AE70:AL70"/>
    <mergeCell ref="AM70:AO70"/>
    <mergeCell ref="AE71:AL71"/>
    <mergeCell ref="AM71:AO71"/>
    <mergeCell ref="I65:K65"/>
    <mergeCell ref="P59:Y59"/>
    <mergeCell ref="Z59:AI59"/>
    <mergeCell ref="AJ59:AO59"/>
    <mergeCell ref="F60:O60"/>
    <mergeCell ref="P60:Y60"/>
    <mergeCell ref="Z60:AI60"/>
    <mergeCell ref="AJ60:AO60"/>
    <mergeCell ref="AE65:AL65"/>
    <mergeCell ref="AM65:AO65"/>
    <mergeCell ref="T65:AD65"/>
    <mergeCell ref="C57:E61"/>
    <mergeCell ref="F57:O57"/>
    <mergeCell ref="P57:Y57"/>
    <mergeCell ref="Z57:AI57"/>
    <mergeCell ref="AJ57:AO57"/>
    <mergeCell ref="F58:O58"/>
    <mergeCell ref="P58:Y58"/>
    <mergeCell ref="Z58:AI58"/>
    <mergeCell ref="AJ58:AO58"/>
    <mergeCell ref="F59:O59"/>
    <mergeCell ref="F61:O61"/>
    <mergeCell ref="P61:Y61"/>
    <mergeCell ref="Z61:AI61"/>
    <mergeCell ref="AJ61:AO61"/>
    <mergeCell ref="F56:O56"/>
    <mergeCell ref="P56:Y56"/>
    <mergeCell ref="Z56:AI56"/>
    <mergeCell ref="AJ56:AO56"/>
    <mergeCell ref="Z53:AI53"/>
    <mergeCell ref="AJ53:AO53"/>
    <mergeCell ref="F54:O54"/>
    <mergeCell ref="P54:Y54"/>
    <mergeCell ref="Z54:AI54"/>
    <mergeCell ref="AJ54:AO54"/>
    <mergeCell ref="P51:Y51"/>
    <mergeCell ref="Z51:AI51"/>
    <mergeCell ref="AJ51:AO51"/>
    <mergeCell ref="C52:E56"/>
    <mergeCell ref="F52:O52"/>
    <mergeCell ref="P52:Y52"/>
    <mergeCell ref="Z52:AI52"/>
    <mergeCell ref="AJ52:AO52"/>
    <mergeCell ref="F53:O53"/>
    <mergeCell ref="P53:Y53"/>
    <mergeCell ref="C49:E51"/>
    <mergeCell ref="F49:O49"/>
    <mergeCell ref="P49:Y49"/>
    <mergeCell ref="Z49:AI49"/>
    <mergeCell ref="AJ49:AO49"/>
    <mergeCell ref="F50:O50"/>
    <mergeCell ref="P50:Y50"/>
    <mergeCell ref="Z50:AI50"/>
    <mergeCell ref="AJ50:AO50"/>
    <mergeCell ref="F51:O51"/>
    <mergeCell ref="F55:O55"/>
    <mergeCell ref="P55:Y55"/>
    <mergeCell ref="Z55:AI55"/>
    <mergeCell ref="AJ55:AO55"/>
    <mergeCell ref="C47:E48"/>
    <mergeCell ref="F47:O47"/>
    <mergeCell ref="P47:Y47"/>
    <mergeCell ref="Z47:AI47"/>
    <mergeCell ref="AJ47:AO47"/>
    <mergeCell ref="F48:O48"/>
    <mergeCell ref="P48:Y48"/>
    <mergeCell ref="Z48:AI48"/>
    <mergeCell ref="AJ48:AO48"/>
    <mergeCell ref="C46:E46"/>
    <mergeCell ref="F46:O46"/>
    <mergeCell ref="P46:Y46"/>
    <mergeCell ref="Z46:AI46"/>
    <mergeCell ref="AJ46:AO46"/>
    <mergeCell ref="C40:E42"/>
    <mergeCell ref="F40:N40"/>
    <mergeCell ref="P40:R40"/>
    <mergeCell ref="S40:AB40"/>
    <mergeCell ref="AI40:AO40"/>
    <mergeCell ref="F41:N41"/>
    <mergeCell ref="P41:R41"/>
    <mergeCell ref="S41:AB41"/>
    <mergeCell ref="AC40:AH40"/>
    <mergeCell ref="AC41:AH41"/>
    <mergeCell ref="AC42:AH42"/>
    <mergeCell ref="F39:N39"/>
    <mergeCell ref="P39:R39"/>
    <mergeCell ref="S39:AB39"/>
    <mergeCell ref="AI39:AO39"/>
    <mergeCell ref="AC38:AH38"/>
    <mergeCell ref="AC39:AH39"/>
    <mergeCell ref="AI41:AO41"/>
    <mergeCell ref="F42:N42"/>
    <mergeCell ref="P42:R42"/>
    <mergeCell ref="AI42:AO42"/>
    <mergeCell ref="F37:N37"/>
    <mergeCell ref="P37:R37"/>
    <mergeCell ref="S37:AB37"/>
    <mergeCell ref="AI37:AO37"/>
    <mergeCell ref="AC36:AH36"/>
    <mergeCell ref="AC37:AH37"/>
    <mergeCell ref="F38:N38"/>
    <mergeCell ref="P38:R38"/>
    <mergeCell ref="S38:AB38"/>
    <mergeCell ref="AI38:AO38"/>
    <mergeCell ref="F35:N35"/>
    <mergeCell ref="P35:R35"/>
    <mergeCell ref="S35:AB35"/>
    <mergeCell ref="AI35:AO35"/>
    <mergeCell ref="AC34:AH34"/>
    <mergeCell ref="AC35:AH35"/>
    <mergeCell ref="F36:N36"/>
    <mergeCell ref="P36:R36"/>
    <mergeCell ref="S36:AB36"/>
    <mergeCell ref="AI36:AO36"/>
    <mergeCell ref="F33:N33"/>
    <mergeCell ref="P33:R33"/>
    <mergeCell ref="S33:AB33"/>
    <mergeCell ref="AI33:AO33"/>
    <mergeCell ref="AC32:AH32"/>
    <mergeCell ref="AC33:AH33"/>
    <mergeCell ref="F34:N34"/>
    <mergeCell ref="P34:R34"/>
    <mergeCell ref="S34:AB34"/>
    <mergeCell ref="AI34:AO34"/>
    <mergeCell ref="F31:N31"/>
    <mergeCell ref="P31:R31"/>
    <mergeCell ref="S31:AB31"/>
    <mergeCell ref="AI31:AO31"/>
    <mergeCell ref="AC30:AH30"/>
    <mergeCell ref="AC31:AH31"/>
    <mergeCell ref="F32:N32"/>
    <mergeCell ref="P32:R32"/>
    <mergeCell ref="S32:AB32"/>
    <mergeCell ref="AI32:AO32"/>
    <mergeCell ref="F29:N29"/>
    <mergeCell ref="P29:R29"/>
    <mergeCell ref="S29:AB29"/>
    <mergeCell ref="AI29:AO29"/>
    <mergeCell ref="AC29:AH29"/>
    <mergeCell ref="F30:N30"/>
    <mergeCell ref="P30:R30"/>
    <mergeCell ref="S30:AB30"/>
    <mergeCell ref="AI30:AO30"/>
    <mergeCell ref="AC25:AH25"/>
    <mergeCell ref="AC26:AH26"/>
    <mergeCell ref="AC27:AH27"/>
    <mergeCell ref="AC28:AH28"/>
    <mergeCell ref="S24:AB24"/>
    <mergeCell ref="AI24:AO24"/>
    <mergeCell ref="F25:N25"/>
    <mergeCell ref="P25:R25"/>
    <mergeCell ref="S25:AB25"/>
    <mergeCell ref="AI25:AO25"/>
    <mergeCell ref="F26:N26"/>
    <mergeCell ref="P26:R26"/>
    <mergeCell ref="S26:AB26"/>
    <mergeCell ref="AI26:AO26"/>
    <mergeCell ref="F27:N27"/>
    <mergeCell ref="P27:R27"/>
    <mergeCell ref="S27:AB27"/>
    <mergeCell ref="AI27:AO27"/>
    <mergeCell ref="F28:N28"/>
    <mergeCell ref="P28:R28"/>
    <mergeCell ref="S28:AB28"/>
    <mergeCell ref="AI28:AO28"/>
    <mergeCell ref="F23:N23"/>
    <mergeCell ref="P23:R23"/>
    <mergeCell ref="S23:AB23"/>
    <mergeCell ref="AI23:AO23"/>
    <mergeCell ref="F24:N24"/>
    <mergeCell ref="P24:R24"/>
    <mergeCell ref="C17:H17"/>
    <mergeCell ref="I17:S17"/>
    <mergeCell ref="C18:H18"/>
    <mergeCell ref="I18:S18"/>
    <mergeCell ref="C22:E22"/>
    <mergeCell ref="F22:N22"/>
    <mergeCell ref="P22:R22"/>
    <mergeCell ref="S22:AB22"/>
    <mergeCell ref="AC22:AH22"/>
    <mergeCell ref="AC23:AH23"/>
    <mergeCell ref="AC24:AH24"/>
    <mergeCell ref="AI22:AO22"/>
    <mergeCell ref="AE87:AL87"/>
    <mergeCell ref="C7:H7"/>
    <mergeCell ref="I7:S7"/>
    <mergeCell ref="T7:X7"/>
    <mergeCell ref="C8:H8"/>
    <mergeCell ref="I8:S8"/>
    <mergeCell ref="T8:X18"/>
    <mergeCell ref="C9:H9"/>
    <mergeCell ref="I9:S9"/>
    <mergeCell ref="C10:H10"/>
    <mergeCell ref="I10:S10"/>
    <mergeCell ref="C14:H14"/>
    <mergeCell ref="I14:S14"/>
    <mergeCell ref="C15:H15"/>
    <mergeCell ref="I15:S15"/>
    <mergeCell ref="C16:H16"/>
    <mergeCell ref="I16:S16"/>
    <mergeCell ref="C11:H11"/>
    <mergeCell ref="I11:S11"/>
    <mergeCell ref="C12:H12"/>
    <mergeCell ref="I12:S12"/>
    <mergeCell ref="C13:H13"/>
    <mergeCell ref="I13:S13"/>
    <mergeCell ref="C23:E39"/>
    <mergeCell ref="I85:S85"/>
    <mergeCell ref="AM84:AO84"/>
    <mergeCell ref="C78:F80"/>
    <mergeCell ref="I78:AD78"/>
    <mergeCell ref="AE79:AL79"/>
    <mergeCell ref="AM79:AO79"/>
    <mergeCell ref="I75:AD75"/>
    <mergeCell ref="I68:AD68"/>
    <mergeCell ref="I69:S69"/>
    <mergeCell ref="I70:S70"/>
    <mergeCell ref="I71:S71"/>
    <mergeCell ref="I72:S72"/>
    <mergeCell ref="I73:S73"/>
    <mergeCell ref="T72:AD72"/>
    <mergeCell ref="T71:AD71"/>
    <mergeCell ref="T69:AD69"/>
    <mergeCell ref="T70:AD70"/>
    <mergeCell ref="C81:D91"/>
    <mergeCell ref="E81:F81"/>
    <mergeCell ref="E83:F83"/>
    <mergeCell ref="T73:AD73"/>
    <mergeCell ref="T74:AD74"/>
    <mergeCell ref="C68:F74"/>
    <mergeCell ref="AE84:AL84"/>
    <mergeCell ref="G123:H128"/>
    <mergeCell ref="C112:D119"/>
    <mergeCell ref="E112:F113"/>
    <mergeCell ref="E114:F116"/>
    <mergeCell ref="I114:AD114"/>
    <mergeCell ref="I115:S115"/>
    <mergeCell ref="I116:S116"/>
    <mergeCell ref="B68:B74"/>
    <mergeCell ref="B75:B77"/>
    <mergeCell ref="B81:B91"/>
    <mergeCell ref="E84:F84"/>
    <mergeCell ref="G84:H84"/>
    <mergeCell ref="C92:D95"/>
    <mergeCell ref="B92:B95"/>
    <mergeCell ref="C96:D106"/>
    <mergeCell ref="G96:H96"/>
    <mergeCell ref="G97:H97"/>
    <mergeCell ref="E96:F96"/>
    <mergeCell ref="E97:F97"/>
    <mergeCell ref="I119:S119"/>
    <mergeCell ref="I113:S113"/>
    <mergeCell ref="I82:AD82"/>
    <mergeCell ref="I83:AD83"/>
    <mergeCell ref="I84:AD84"/>
    <mergeCell ref="B96:B106"/>
    <mergeCell ref="B78:B80"/>
    <mergeCell ref="B107:B111"/>
    <mergeCell ref="B112:B119"/>
    <mergeCell ref="AE114:AL114"/>
    <mergeCell ref="AM114:AO114"/>
    <mergeCell ref="B120:B122"/>
    <mergeCell ref="B123:B128"/>
    <mergeCell ref="AE123:AL123"/>
    <mergeCell ref="AM123:AO123"/>
    <mergeCell ref="AE127:AL127"/>
    <mergeCell ref="AM127:AO127"/>
    <mergeCell ref="C123:F128"/>
    <mergeCell ref="I124:S124"/>
    <mergeCell ref="I125:S125"/>
    <mergeCell ref="I126:S126"/>
    <mergeCell ref="I127:S127"/>
    <mergeCell ref="I81:AD81"/>
    <mergeCell ref="B133:F133"/>
    <mergeCell ref="B66:F66"/>
    <mergeCell ref="G66:H66"/>
    <mergeCell ref="I66:S66"/>
    <mergeCell ref="T66:AD66"/>
    <mergeCell ref="G133:AO133"/>
    <mergeCell ref="C107:F111"/>
    <mergeCell ref="G107:H111"/>
    <mergeCell ref="G98:H106"/>
    <mergeCell ref="E92:F93"/>
    <mergeCell ref="G92:H93"/>
    <mergeCell ref="E94:F95"/>
    <mergeCell ref="G94:H94"/>
    <mergeCell ref="I94:S94"/>
    <mergeCell ref="T94:AD94"/>
    <mergeCell ref="AE94:AL94"/>
    <mergeCell ref="AM94:AO94"/>
    <mergeCell ref="I80:S80"/>
    <mergeCell ref="AE129:AL129"/>
    <mergeCell ref="AM129:AO129"/>
    <mergeCell ref="Z17:AO17"/>
    <mergeCell ref="Z18:AO18"/>
    <mergeCell ref="G129:H129"/>
    <mergeCell ref="I130:AD130"/>
    <mergeCell ref="AE130:AL130"/>
    <mergeCell ref="AM130:AO130"/>
    <mergeCell ref="I129:AD129"/>
    <mergeCell ref="C120:F122"/>
    <mergeCell ref="G112:H113"/>
    <mergeCell ref="G114:H116"/>
    <mergeCell ref="E117:F119"/>
    <mergeCell ref="G117:H119"/>
    <mergeCell ref="G120:H122"/>
    <mergeCell ref="I117:AD117"/>
    <mergeCell ref="I118:S118"/>
    <mergeCell ref="Z7:AO8"/>
    <mergeCell ref="Z9:AO9"/>
    <mergeCell ref="Z10:AO10"/>
    <mergeCell ref="Z11:AO11"/>
    <mergeCell ref="Z12:AO12"/>
    <mergeCell ref="Z13:AO13"/>
    <mergeCell ref="Z14:AO14"/>
    <mergeCell ref="Z15:AO15"/>
    <mergeCell ref="Z16:AO16"/>
    <mergeCell ref="C129:D129"/>
    <mergeCell ref="E130:F130"/>
    <mergeCell ref="G130:H130"/>
    <mergeCell ref="E129:F129"/>
    <mergeCell ref="C130:D13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B2:E11"/>
  <sheetViews>
    <sheetView showGridLines="0" workbookViewId="0">
      <selection activeCell="A2" sqref="A2:XFD2"/>
    </sheetView>
  </sheetViews>
  <sheetFormatPr defaultRowHeight="16.5"/>
  <cols>
    <col min="1" max="1" width="1.75" customWidth="1"/>
    <col min="3" max="3" width="6.75" customWidth="1"/>
    <col min="4" max="4" width="92" customWidth="1"/>
    <col min="5" max="5" width="16.125" customWidth="1"/>
  </cols>
  <sheetData>
    <row r="2" spans="2:5" ht="26.25">
      <c r="B2" s="1" t="s">
        <v>220</v>
      </c>
    </row>
    <row r="3" spans="2:5" ht="44.25" customHeight="1">
      <c r="D3" t="s">
        <v>81</v>
      </c>
    </row>
    <row r="4" spans="2:5">
      <c r="B4" s="15" t="s">
        <v>60</v>
      </c>
      <c r="C4" s="15" t="s">
        <v>61</v>
      </c>
      <c r="D4" s="15" t="s">
        <v>62</v>
      </c>
      <c r="E4" s="15" t="s">
        <v>63</v>
      </c>
    </row>
    <row r="5" spans="2:5" ht="117" customHeight="1">
      <c r="B5" s="16" t="s">
        <v>64</v>
      </c>
      <c r="C5" s="17" t="s">
        <v>65</v>
      </c>
      <c r="D5" s="18" t="s">
        <v>172</v>
      </c>
      <c r="E5" s="17"/>
    </row>
    <row r="6" spans="2:5" ht="120.75" customHeight="1">
      <c r="B6" s="16" t="s">
        <v>66</v>
      </c>
      <c r="C6" s="17" t="s">
        <v>67</v>
      </c>
      <c r="D6" s="18" t="s">
        <v>173</v>
      </c>
      <c r="E6" s="17"/>
    </row>
    <row r="7" spans="2:5" ht="201.75" customHeight="1">
      <c r="B7" s="16" t="s">
        <v>69</v>
      </c>
      <c r="C7" s="17" t="s">
        <v>70</v>
      </c>
      <c r="D7" s="18" t="s">
        <v>71</v>
      </c>
      <c r="E7" s="17"/>
    </row>
    <row r="8" spans="2:5" ht="96">
      <c r="B8" s="16" t="s">
        <v>68</v>
      </c>
      <c r="C8" s="17" t="s">
        <v>67</v>
      </c>
      <c r="D8" s="18" t="s">
        <v>72</v>
      </c>
      <c r="E8" s="17"/>
    </row>
    <row r="9" spans="2:5" ht="144">
      <c r="B9" s="16" t="s">
        <v>73</v>
      </c>
      <c r="C9" s="17" t="s">
        <v>74</v>
      </c>
      <c r="D9" s="18" t="s">
        <v>75</v>
      </c>
      <c r="E9" s="17"/>
    </row>
    <row r="10" spans="2:5" ht="138.75" customHeight="1">
      <c r="B10" s="16" t="s">
        <v>73</v>
      </c>
      <c r="C10" s="17" t="s">
        <v>70</v>
      </c>
      <c r="D10" s="18" t="s">
        <v>76</v>
      </c>
      <c r="E10" s="17"/>
    </row>
    <row r="11" spans="2:5" ht="196.5" customHeight="1">
      <c r="B11" s="16" t="s">
        <v>77</v>
      </c>
      <c r="C11" s="17" t="s">
        <v>78</v>
      </c>
      <c r="D11" s="18" t="s">
        <v>79</v>
      </c>
      <c r="E11" s="17"/>
    </row>
  </sheetData>
  <phoneticPr fontId="1" type="noConversion"/>
  <pageMargins left="0.7" right="0.7" top="0.75" bottom="0.75" header="0.3" footer="0.3"/>
  <pageSetup paperSize="9" scale="95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23"/>
  <sheetViews>
    <sheetView showGridLines="0" workbookViewId="0">
      <pane ySplit="3" topLeftCell="A4" activePane="bottomLeft" state="frozen"/>
      <selection activeCell="C30" sqref="C30"/>
      <selection pane="bottomLeft" activeCell="D29" sqref="D29"/>
    </sheetView>
  </sheetViews>
  <sheetFormatPr defaultColWidth="7.75" defaultRowHeight="16.5"/>
  <cols>
    <col min="1" max="1" width="13.125" style="14" customWidth="1"/>
    <col min="2" max="4" width="14.375" style="14" customWidth="1"/>
    <col min="5" max="5" width="55.25" style="14" customWidth="1"/>
    <col min="6" max="16384" width="7.75" style="5"/>
  </cols>
  <sheetData>
    <row r="1" spans="1:5" customFormat="1" ht="26.25">
      <c r="A1" s="1" t="s">
        <v>221</v>
      </c>
      <c r="B1" s="1"/>
    </row>
    <row r="3" spans="1: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7.45" customHeight="1">
      <c r="A4" s="6" t="s">
        <v>54</v>
      </c>
      <c r="B4" s="6">
        <v>160</v>
      </c>
      <c r="C4" s="6">
        <v>0.5</v>
      </c>
      <c r="D4" s="6">
        <f>B4*C4/21</f>
        <v>3.8095238095238093</v>
      </c>
      <c r="E4" s="7" t="s">
        <v>55</v>
      </c>
    </row>
    <row r="5" spans="1:5">
      <c r="A5" s="6" t="s">
        <v>56</v>
      </c>
      <c r="B5" s="6">
        <v>40</v>
      </c>
      <c r="C5" s="6">
        <v>5</v>
      </c>
      <c r="D5" s="6">
        <f>B5*C5/21</f>
        <v>9.5238095238095237</v>
      </c>
      <c r="E5" s="7"/>
    </row>
    <row r="6" spans="1:5">
      <c r="A6" s="6"/>
      <c r="B6" s="6"/>
      <c r="C6" s="6"/>
      <c r="D6" s="6"/>
      <c r="E6" s="7"/>
    </row>
    <row r="7" spans="1:5">
      <c r="A7" s="6"/>
      <c r="B7" s="6"/>
      <c r="C7" s="6"/>
      <c r="D7" s="6"/>
      <c r="E7" s="8"/>
    </row>
    <row r="8" spans="1:5">
      <c r="A8" s="6"/>
      <c r="B8" s="6"/>
      <c r="C8" s="6"/>
      <c r="D8" s="6"/>
      <c r="E8" s="9"/>
    </row>
    <row r="9" spans="1:5">
      <c r="A9" s="6"/>
      <c r="B9" s="6"/>
      <c r="C9" s="6"/>
      <c r="D9" s="6"/>
      <c r="E9" s="9"/>
    </row>
    <row r="10" spans="1:5">
      <c r="A10" s="6"/>
      <c r="B10" s="6"/>
      <c r="C10" s="6"/>
      <c r="D10" s="6"/>
      <c r="E10" s="9"/>
    </row>
    <row r="11" spans="1:5">
      <c r="A11" s="6"/>
      <c r="B11" s="6"/>
      <c r="C11" s="6"/>
      <c r="D11" s="6"/>
      <c r="E11" s="9"/>
    </row>
    <row r="12" spans="1:5">
      <c r="A12" s="10" t="s">
        <v>57</v>
      </c>
      <c r="B12" s="11">
        <f>SUM(B4:B11)</f>
        <v>200</v>
      </c>
      <c r="C12" s="11"/>
      <c r="D12" s="12">
        <f>ROUNDUP(SUM(D4:D11),1)</f>
        <v>13.4</v>
      </c>
      <c r="E12" s="13"/>
    </row>
    <row r="14" spans="1:5">
      <c r="A14" s="4" t="s">
        <v>49</v>
      </c>
      <c r="B14" s="4" t="s">
        <v>50</v>
      </c>
      <c r="C14" s="4" t="s">
        <v>51</v>
      </c>
      <c r="D14" s="4" t="s">
        <v>52</v>
      </c>
      <c r="E14" s="4" t="s">
        <v>53</v>
      </c>
    </row>
    <row r="15" spans="1:5">
      <c r="A15" s="6" t="s">
        <v>54</v>
      </c>
      <c r="B15" s="6">
        <v>0</v>
      </c>
      <c r="C15" s="6">
        <v>0.5</v>
      </c>
      <c r="D15" s="6">
        <f>B15*C15/21</f>
        <v>0</v>
      </c>
      <c r="E15" s="7" t="s">
        <v>55</v>
      </c>
    </row>
    <row r="16" spans="1:5">
      <c r="A16" s="6" t="s">
        <v>58</v>
      </c>
      <c r="B16" s="6">
        <v>0</v>
      </c>
      <c r="C16" s="6">
        <v>4</v>
      </c>
      <c r="D16" s="6">
        <f>B16*C16/21</f>
        <v>0</v>
      </c>
      <c r="E16" s="7" t="s">
        <v>59</v>
      </c>
    </row>
    <row r="17" spans="1:9" s="14" customFormat="1">
      <c r="A17" s="6"/>
      <c r="B17" s="6"/>
      <c r="C17" s="6"/>
      <c r="D17" s="6"/>
      <c r="E17" s="7"/>
      <c r="F17" s="5"/>
      <c r="G17" s="5"/>
      <c r="H17" s="5"/>
      <c r="I17" s="5"/>
    </row>
    <row r="18" spans="1:9">
      <c r="A18" s="6"/>
      <c r="B18" s="6"/>
      <c r="C18" s="6"/>
      <c r="D18" s="6"/>
      <c r="E18" s="8"/>
    </row>
    <row r="19" spans="1:9" s="14" customFormat="1">
      <c r="A19" s="6"/>
      <c r="B19" s="6"/>
      <c r="C19" s="6"/>
      <c r="D19" s="6"/>
      <c r="E19" s="9"/>
      <c r="F19" s="5"/>
      <c r="G19" s="5"/>
      <c r="H19" s="5"/>
      <c r="I19" s="5"/>
    </row>
    <row r="20" spans="1:9">
      <c r="A20" s="6"/>
      <c r="B20" s="6"/>
      <c r="C20" s="6"/>
      <c r="D20" s="6"/>
      <c r="E20" s="9"/>
    </row>
    <row r="21" spans="1:9">
      <c r="A21" s="6"/>
      <c r="B21" s="6"/>
      <c r="C21" s="6"/>
      <c r="D21" s="6"/>
      <c r="E21" s="9"/>
    </row>
    <row r="22" spans="1:9">
      <c r="A22" s="6"/>
      <c r="B22" s="6"/>
      <c r="C22" s="6"/>
      <c r="D22" s="6"/>
      <c r="E22" s="9"/>
    </row>
    <row r="23" spans="1:9">
      <c r="A23" s="10" t="s">
        <v>57</v>
      </c>
      <c r="B23" s="11">
        <f>SUM(B15:B22)</f>
        <v>0</v>
      </c>
      <c r="C23" s="11"/>
      <c r="D23" s="12">
        <f>ROUNDUP(SUM(D15:D22),1)</f>
        <v>0</v>
      </c>
      <c r="E23" s="1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변경이력</vt:lpstr>
      <vt:lpstr>1.인수인계 절차</vt:lpstr>
      <vt:lpstr>2.체크리스트(필수)</vt:lpstr>
      <vt:lpstr>3.일지 History(필수)</vt:lpstr>
      <vt:lpstr>4.양식 공수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강경철</dc:creator>
  <cp:lastModifiedBy>김경호</cp:lastModifiedBy>
  <cp:lastPrinted>2020-09-11T11:08:29Z</cp:lastPrinted>
  <dcterms:created xsi:type="dcterms:W3CDTF">2019-02-08T08:11:25Z</dcterms:created>
  <dcterms:modified xsi:type="dcterms:W3CDTF">2026-02-13T08:50:11Z</dcterms:modified>
</cp:coreProperties>
</file>