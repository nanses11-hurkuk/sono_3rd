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81.프로젝트\2603-CP-UTI\01.인터뷰준비\"/>
    </mc:Choice>
  </mc:AlternateContent>
  <xr:revisionPtr revIDLastSave="0" documentId="13_ncr:1_{CD47D94A-9804-4F46-A958-225543A50543}" xr6:coauthVersionLast="36" xr6:coauthVersionMax="36" xr10:uidLastSave="{00000000-0000-0000-0000-000000000000}"/>
  <bookViews>
    <workbookView xWindow="0" yWindow="0" windowWidth="23040" windowHeight="6852" xr2:uid="{00000000-000D-0000-FFFF-FFFF00000000}"/>
  </bookViews>
  <sheets>
    <sheet name="공통" sheetId="6" r:id="rId1"/>
    <sheet name="(AD)" sheetId="18" r:id="rId2"/>
    <sheet name="(Exch)" sheetId="19" r:id="rId3"/>
    <sheet name="ETC" sheetId="20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6" l="1"/>
  <c r="B19" i="6"/>
  <c r="B6" i="6" l="1"/>
  <c r="B10" i="6" l="1"/>
  <c r="B5" i="19" l="1"/>
  <c r="B3" i="19"/>
  <c r="B12" i="6"/>
  <c r="B11" i="6"/>
  <c r="B7" i="19" l="1"/>
  <c r="B4" i="19"/>
  <c r="B7" i="18"/>
  <c r="B6" i="19" l="1"/>
  <c r="B4" i="18"/>
  <c r="B3" i="18"/>
  <c r="B17" i="6"/>
  <c r="B16" i="6"/>
  <c r="B15" i="6"/>
  <c r="B14" i="6"/>
  <c r="B13" i="6"/>
  <c r="B9" i="6"/>
  <c r="B8" i="6"/>
  <c r="B7" i="6"/>
  <c r="B5" i="6"/>
  <c r="B4" i="6"/>
  <c r="B3" i="6"/>
</calcChain>
</file>

<file path=xl/sharedStrings.xml><?xml version="1.0" encoding="utf-8"?>
<sst xmlns="http://schemas.openxmlformats.org/spreadsheetml/2006/main" count="127" uniqueCount="105">
  <si>
    <t>항목</t>
    <phoneticPr fontId="1" type="noConversion"/>
  </si>
  <si>
    <t>비고</t>
    <phoneticPr fontId="1" type="noConversion"/>
  </si>
  <si>
    <t>No.</t>
    <phoneticPr fontId="1" type="noConversion"/>
  </si>
  <si>
    <t>연동 대상</t>
    <phoneticPr fontId="1" type="noConversion"/>
  </si>
  <si>
    <t>□ Y    □ N</t>
    <phoneticPr fontId="1" type="noConversion"/>
  </si>
  <si>
    <t>회사코드 존재</t>
    <phoneticPr fontId="1" type="noConversion"/>
  </si>
  <si>
    <t>제공하는 조직도 데이터</t>
    <phoneticPr fontId="1" type="noConversion"/>
  </si>
  <si>
    <t>(조직도DB 테이블 명세서 참고)</t>
    <phoneticPr fontId="1" type="noConversion"/>
  </si>
  <si>
    <t>기타 특이사항</t>
    <phoneticPr fontId="1" type="noConversion"/>
  </si>
  <si>
    <t>AS-IS AD 사용여부</t>
    <phoneticPr fontId="1" type="noConversion"/>
  </si>
  <si>
    <t>동기화 사용여부</t>
    <phoneticPr fontId="1" type="noConversion"/>
  </si>
  <si>
    <t>계열사 존재여부</t>
    <phoneticPr fontId="1" type="noConversion"/>
  </si>
  <si>
    <t>- Y 
    1) 사용하지 않는 사용자의 결재, 게시 등을 마이그레이션 하는 경우
    2) 인사 시스템이 별도로 구축되지 않은 경우
- N
    1) 사용하지 않는 사용자의 결재, 게시 등을 마이그레이션 하지 않는 경우
    2) 인사 시스템이 별도로 구축되어 있는 경우</t>
    <phoneticPr fontId="1" type="noConversion"/>
  </si>
  <si>
    <t>인사데이터 제공 방식</t>
    <phoneticPr fontId="1" type="noConversion"/>
  </si>
  <si>
    <t>미사용 인사데이터 포함 여부</t>
    <phoneticPr fontId="1" type="noConversion"/>
  </si>
  <si>
    <t>인사데이터의 정렬키값 존재</t>
    <phoneticPr fontId="1" type="noConversion"/>
  </si>
  <si>
    <t>필수 컬럼 제공여부</t>
    <phoneticPr fontId="1" type="noConversion"/>
  </si>
  <si>
    <t>사용자 퇴직처리(삭제) 방식</t>
    <phoneticPr fontId="1" type="noConversion"/>
  </si>
  <si>
    <t>1. 배포단위
    - 회사 하위의 부서/직위/직급/직책 개체 (사용자 개체 없음)
    - '유니버셜-보안' 그룹으로 생성
    - 부서/직위/직급/직책 삭제 시 AD개체도 삭제됨
    (대표속성) 
    cn=부서/직위/직급/직책 코드
    sAMAccountName=부서/직위/직급/직책 코드</t>
    <phoneticPr fontId="1" type="noConversion"/>
  </si>
  <si>
    <t xml:space="preserve">2. 조직단위
    - 회사, 부서 OU 및 사용자 개체
    - 사용자 개체의 소속그룹 : 부서/직위/직급/직책 개체
    - 사용자 퇴사(계정 삭제) 시 회사OU의 퇴직부서로 이동 및 비활성화 (삭제 X)
    (대표속성)
    cn=사용자 코드/LogonID/EmpNo/DisplayName
    sAMAccountName=사용자 LogonID
    userPrincipalName=사용자 LogonID@AD도메인(or 대체 UPN 접미사)
</t>
    <phoneticPr fontId="1" type="noConversion"/>
  </si>
  <si>
    <t>메일주소 중복 여부</t>
    <phoneticPr fontId="1" type="noConversion"/>
  </si>
  <si>
    <t>사서함DB 규칙 여부</t>
    <phoneticPr fontId="1" type="noConversion"/>
  </si>
  <si>
    <t>퇴사시 AD계정 비활성화</t>
    <phoneticPr fontId="1" type="noConversion"/>
  </si>
  <si>
    <t>□ Y    □ N(수동/엑셀)   □ 계열사별 상이</t>
    <phoneticPr fontId="1" type="noConversion"/>
  </si>
  <si>
    <t>- 계열사별 상이 : 계열사별로 자동/수동(엑셀) 설정 가능</t>
    <phoneticPr fontId="1" type="noConversion"/>
  </si>
  <si>
    <t>□ DB to DB
□ 웹서비스
□ 파일(엑셀, CSV)
□ 기타</t>
    <phoneticPr fontId="1" type="noConversion"/>
  </si>
  <si>
    <t>- DB to DB
    1) 조직도DB와 동일한 스키마로 테이블 또는 뷰 제공
    2) 조직도DB에 데이터 생성
    3) 인사데이터 테이블 또는 뷰 스키마 제공
    4) 기타
- 웹서비스 : I/F정의서 요청
- 파일 : 경로, 파일명 규칙 정의서 요청(WEB/WAS에서 접근 가능해야 함)</t>
    <phoneticPr fontId="1" type="noConversion"/>
  </si>
  <si>
    <t>□ Y    □ N
Y인 경우
  1) (AD/Exch/SFB) 계열사별 메일 도메인 동일?    □ Y    □ N
  2) (AD/Exch/SFB) 계열사별 UserPrincipalName 도메인 동일?    □ Y    □ N
  3) 기타 계열사별 특이사항?    □ Y    □ N</t>
    <phoneticPr fontId="1" type="noConversion"/>
  </si>
  <si>
    <t>사용자 사진 연동</t>
    <phoneticPr fontId="1" type="noConversion"/>
  </si>
  <si>
    <t>(기본) 전체 이미지 copy 및 PhotoPath 생성(연동x)</t>
    <phoneticPr fontId="1" type="noConversion"/>
  </si>
  <si>
    <t>사용자 식별키</t>
    <phoneticPr fontId="1" type="noConversion"/>
  </si>
  <si>
    <t>(참고-AD/Exch/SFB) 
cn=사용자 코드(식별키)/LogonID/EmpNo/DisplayName
    sAMAccountName=사용자 LogonID
    userPrincipalName=사용자 LogonID@AD도메인(or 대체 UPN 접미사)</t>
    <phoneticPr fontId="1" type="noConversion"/>
  </si>
  <si>
    <t>사용자 LogonID</t>
    <phoneticPr fontId="1" type="noConversion"/>
  </si>
  <si>
    <t>□ 사번 
□ 메일ID
□ 기타</t>
    <phoneticPr fontId="1" type="noConversion"/>
  </si>
  <si>
    <t>□ 사번 
□ 메일ID
□ 사용자 식별키
□ 기타</t>
    <phoneticPr fontId="1" type="noConversion"/>
  </si>
  <si>
    <t>AD 구조 변경 가능여부</t>
    <phoneticPr fontId="1" type="noConversion"/>
  </si>
  <si>
    <t>□ Y    □ N
Y인 경우, 사용중인 정책이 있는지?    □ Y    □ N</t>
    <phoneticPr fontId="1" type="noConversion"/>
  </si>
  <si>
    <t xml:space="preserve">□ Y    □ N
Y인 경우
  1) 특정 DB만 사용하는지?    □ Y    □ N
  2) 특정 사용자만 별도의 DB를 사용하는지?    □ Y    □ N
  3) 기타 : </t>
    <phoneticPr fontId="1" type="noConversion"/>
  </si>
  <si>
    <r>
      <t xml:space="preserve">□ Y    □ N
Y인 경우
  1) 인사데이터 메일주소 </t>
    </r>
    <r>
      <rPr>
        <sz val="11"/>
        <color theme="1"/>
        <rFont val="맑은 고딕"/>
        <family val="3"/>
        <charset val="129"/>
        <scheme val="minor"/>
      </rPr>
      <t xml:space="preserve">연동? </t>
    </r>
    <r>
      <rPr>
        <sz val="11"/>
        <color theme="1"/>
        <rFont val="맑은 고딕"/>
        <family val="2"/>
        <charset val="129"/>
        <scheme val="minor"/>
      </rPr>
      <t xml:space="preserve">    □ Y    □ N(코드로 메일주소 생성)
  2) 외부도메인 메일 수신 여부?    □ Y    □ N</t>
    </r>
    <phoneticPr fontId="1" type="noConversion"/>
  </si>
  <si>
    <t>사용자 메일 사용여부</t>
    <phoneticPr fontId="1" type="noConversion"/>
  </si>
  <si>
    <t>- 일부 사용자인 경우 EX_IsUse값 필요</t>
    <phoneticPr fontId="1" type="noConversion"/>
  </si>
  <si>
    <t>□ 전체 사용자    □ 일부 사용자    □ N</t>
    <phoneticPr fontId="1" type="noConversion"/>
  </si>
  <si>
    <t>직위/직급/직책 메일그룹 사용여부</t>
    <phoneticPr fontId="1" type="noConversion"/>
  </si>
  <si>
    <t>부서 메일그룹 사용여부</t>
    <phoneticPr fontId="1" type="noConversion"/>
  </si>
  <si>
    <t>조직도 데이터 중복 여부</t>
    <phoneticPr fontId="1" type="noConversion"/>
  </si>
  <si>
    <t>□ 그룹웨어 수동관리
□ 물리파일 연동
□ 파일경로 연동 
물리파일 연동인 경우, 연동 방식 정의 : 
  (ex) 제공하는 DB데이터를 파일로 저장, PhotoPath값 조회하는 API 제공 등</t>
    <phoneticPr fontId="1" type="noConversion"/>
  </si>
  <si>
    <t>* 계정 재사용 : 이전 계정에서 사용하던 권한 그대로 유지됨
* 신규 계정으로 재입사 : 기존 계정에서 사용하던 권한 유지 안됨
* 그룹웨어 인사정보 타 시스템 제공 : 기본적으로 가공된 인사데이터를 제공함.</t>
    <phoneticPr fontId="1" type="noConversion"/>
  </si>
  <si>
    <t>□ Y    □ N
N인 경우, 조직도 정렬 기준 정의 : 
  (ex) 코드순, 직위/직급/직책의 우선순위, 이름순 등</t>
    <phoneticPr fontId="1" type="noConversion"/>
  </si>
  <si>
    <t>■ Y</t>
    <phoneticPr fontId="1" type="noConversion"/>
  </si>
  <si>
    <t>■ Y
* 모든 인사데이터에 회사코드는 필수값임</t>
    <phoneticPr fontId="1" type="noConversion"/>
  </si>
  <si>
    <t>■ N
* 모든 인사데이터(회사/부서/직위/직급/직책/사용자)의 코드는 중복 불가</t>
    <phoneticPr fontId="1" type="noConversion"/>
  </si>
  <si>
    <t>■ 사용자  ■ 부서  □ 직위  □ 직급  □ 직책  □ 지역  □ 겸직  □ 파견
* 직위/직급/직책/지역 코드 변경
    직위=P직위코드_회사ID
    직급=L직급코드_회사ID
    직책=T직책코드_회사ID
    지역=R지역코드_회사ID</t>
    <phoneticPr fontId="1" type="noConversion"/>
  </si>
  <si>
    <t>□ 퇴직일자(RetireDate)    □ 사용여부(IsUse)    □ 기타
* 퇴직처리(삭제) : AD계정 및 Exchange/CP메일 사서함 비활성화(삭제 X)</t>
    <phoneticPr fontId="1" type="noConversion"/>
  </si>
  <si>
    <t>■ Y
* 아래와 같이 구조가 변경됩니다.</t>
    <phoneticPr fontId="1" type="noConversion"/>
  </si>
  <si>
    <t>■ Y
* 퇴사시 AD객체 삭제하지 않고 비활성화 처리됨</t>
    <phoneticPr fontId="1" type="noConversion"/>
  </si>
  <si>
    <t>■ N
* 사용자 퇴사(삭제)시 사서함 삭제하지 않아 동일 메일주소 사용시 메일 수발신 문제 발생 가능
* 할당된 메일주소는 ProxyAddress에서 제거하지 않음</t>
    <phoneticPr fontId="1" type="noConversion"/>
  </si>
  <si>
    <t>동기화 시각</t>
    <phoneticPr fontId="1" type="noConversion"/>
  </si>
  <si>
    <t>1일 최대 퇴사자 수</t>
    <phoneticPr fontId="1" type="noConversion"/>
  </si>
  <si>
    <t>ex)매일 새벽 1시</t>
    <phoneticPr fontId="1" type="noConversion"/>
  </si>
  <si>
    <t>ex)10명</t>
    <phoneticPr fontId="1" type="noConversion"/>
  </si>
  <si>
    <t>동기화 초기 비밀번호</t>
    <phoneticPr fontId="1" type="noConversion"/>
  </si>
  <si>
    <t>*동기화하여 사용자 신규 생성시 초기 세팅되는 비밀번호</t>
    <phoneticPr fontId="1" type="noConversion"/>
  </si>
  <si>
    <t>■ DB  □ AD  □ Exchange  □ SFB  □ O365</t>
    <phoneticPr fontId="1" type="noConversion"/>
  </si>
  <si>
    <t>ex)GW에서 IsHR이 Y인데 RetireDate &lt; 내일인 경우
ex)GW에서 IsHR이 Y인데 인사데이터에 없는 경우</t>
    <phoneticPr fontId="1" type="noConversion"/>
  </si>
  <si>
    <t>그룹웨어에서 수동 퇴직처리</t>
    <phoneticPr fontId="1" type="noConversion"/>
  </si>
  <si>
    <t>매일 새벽1시</t>
    <phoneticPr fontId="1" type="noConversion"/>
  </si>
  <si>
    <t>10명</t>
    <phoneticPr fontId="1" type="noConversion"/>
  </si>
  <si>
    <t>암호 : password
오픈시에도 전 사용자 동일하게 적용</t>
    <phoneticPr fontId="1" type="noConversion"/>
  </si>
  <si>
    <t>Y</t>
    <phoneticPr fontId="1" type="noConversion"/>
  </si>
  <si>
    <t>개발AD 제공가능(운영복제or신규는 내부확인)
개발테넌트 없음</t>
    <phoneticPr fontId="1" type="noConversion"/>
  </si>
  <si>
    <t>V1 : 수동관리
V2 : 영림원ERP 연계</t>
    <phoneticPr fontId="1" type="noConversion"/>
  </si>
  <si>
    <t>영림원 : MSSQL View 제공</t>
    <phoneticPr fontId="1" type="noConversion"/>
  </si>
  <si>
    <t>계열사 V1,V2 2개 존재
2개 계열사 메일,UPN 도메인 모두 utivina.com</t>
    <phoneticPr fontId="1" type="noConversion"/>
  </si>
  <si>
    <t>UTI 내부확인 후 공유</t>
    <phoneticPr fontId="1" type="noConversion"/>
  </si>
  <si>
    <t>메일ID
*로그인 인증방식 : DB기반</t>
    <phoneticPr fontId="1" type="noConversion"/>
  </si>
  <si>
    <t>미포함</t>
    <phoneticPr fontId="1" type="noConversion"/>
  </si>
  <si>
    <t>직위정렬순서 &gt;이름 순 정렬</t>
    <phoneticPr fontId="1" type="noConversion"/>
  </si>
  <si>
    <t>그룹웨어에서 수동관리
*HR팀에서 사진 업로드
*개인 수정 불가
*최초 이미지 이관여부는 UTI내부확인</t>
    <phoneticPr fontId="1" type="noConversion"/>
  </si>
  <si>
    <t>신규계정 생성</t>
    <phoneticPr fontId="1" type="noConversion"/>
  </si>
  <si>
    <t>메일 도메인</t>
    <phoneticPr fontId="1" type="noConversion"/>
  </si>
  <si>
    <t>M365</t>
    <phoneticPr fontId="1" type="noConversion"/>
  </si>
  <si>
    <t>Y
*코드@utivina.com</t>
    <phoneticPr fontId="1" type="noConversion"/>
  </si>
  <si>
    <t>Y
*부서코드@utivina.com</t>
    <phoneticPr fontId="1" type="noConversion"/>
  </si>
  <si>
    <t>M365 기 사용중</t>
    <phoneticPr fontId="1" type="noConversion"/>
  </si>
  <si>
    <t>그룹 구성원은 m365에서 수동관리중</t>
    <phoneticPr fontId="1" type="noConversion"/>
  </si>
  <si>
    <t>AADC 통해 Local AD 연계중</t>
    <phoneticPr fontId="1" type="noConversion"/>
  </si>
  <si>
    <t>기타 ASIS정보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</si>
  <si>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</si>
  <si>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</si>
  <si>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</si>
  <si>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</si>
  <si>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</si>
  <si>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m365에서 "m365그룹"생성하여 사용중(sharepoint용도)</t>
    <phoneticPr fontId="1" type="noConversion"/>
  </si>
  <si>
    <t>기타 정보</t>
    <phoneticPr fontId="1" type="noConversion"/>
  </si>
  <si>
    <t>구분</t>
    <phoneticPr fontId="1" type="noConversion"/>
  </si>
  <si>
    <t>*to-be그룹웨어에서는 utivina.com만 사용
*V1, V2 2개 회사 모두 동일
*메일 : utikorea.com -현그룹웨어 웹메일 사용중
*utivina.com 베트남직원들은 기 사용중, 한국 관리자는 utivina로 추후 전환예정
*utikorea &gt; utivina로 일부 인력 마이그레이션
*몇개월간 병행해서 사용
*utikorea.com : onpre
*utivina.com : online</t>
    <phoneticPr fontId="1" type="noConversion"/>
  </si>
  <si>
    <t>예시답변</t>
    <phoneticPr fontId="1" type="noConversion"/>
  </si>
  <si>
    <t>고객사 답변</t>
    <phoneticPr fontId="1" type="noConversion"/>
  </si>
  <si>
    <t>AD사용중
*asis는 V1, V2 ad 분리되어있으나, tobe는 통합 예정</t>
    <phoneticPr fontId="1" type="noConversion"/>
  </si>
  <si>
    <t>DB, Local AD 연계
*M365(AADC) - AADC : 기사용중
*M365라이선스 정책 : 
한국 주재원관리자 : business premium
베트남 스탭 : office 2024 + m365 business basic
*M365에서 라이선스 수동관리&gt;tobe에서도 프로세스 동일</t>
    <phoneticPr fontId="1" type="noConversion"/>
  </si>
  <si>
    <t>영림원 연계대상 : 사용자, 부서
그룹웨어에서 직위, 직책(미확정) 수동관리
*프로세스 : 영림원 &gt; 그룹웨어 연계 &gt; 그룹웨어에서 직위직책 등 정보 수동으로 수정
*직위/직책은 한국인 직원 대상으로 등록되는 정보로, 수동관리에 부담없음
*베트남 직원은 모두 사원</t>
    <phoneticPr fontId="1" type="noConversion"/>
  </si>
  <si>
    <t>V2에서 결재상신시 V1소속원도 선택 가능해야함
 &gt;타 메뉴에서의 조직도, 이음톡 동일</t>
    <phoneticPr fontId="1" type="noConversion"/>
  </si>
  <si>
    <t>조직구성</t>
    <phoneticPr fontId="1" type="noConversion"/>
  </si>
  <si>
    <t>배포단위는 부서, 직위만 구성
&gt;UTI내부 검토 후 확정
*ASIS : 모든 부서를 1레벨 OU로 생성하여 부서별 사용자 매핑하여 사용중</t>
    <phoneticPr fontId="1" type="noConversion"/>
  </si>
  <si>
    <t>Y
서비스계정(프린터 등 그룹웨어와 연계되지 않은 계정은 별도 OU에 유지)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</si>
</sst>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trike/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37">
    <xf numFmtId="0" fontId="0" fillId="0" borderId="0" xfId="0">
      <alignment vertical="center"/>
    </xf>
    <xf numFmtId="0" fontId="0" fillId="0" borderId="0" xfId="0" quotePrefix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>
      <alignment vertical="center"/>
    </xf>
    <xf numFmtId="0" fontId="2" fillId="2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1" xfId="0" quotePrefix="1" applyBorder="1" applyAlignment="1">
      <alignment horizontal="left" vertical="top" wrapText="1"/>
    </xf>
    <xf numFmtId="0" fontId="4" fillId="0" borderId="1" xfId="0" quotePrefix="1" applyFont="1" applyBorder="1" applyAlignment="1">
      <alignment vertical="center" wrapText="1"/>
    </xf>
    <xf numFmtId="0" fontId="0" fillId="2" borderId="1" xfId="1" applyFont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vertical="center" wrapText="1"/>
    </xf>
    <xf numFmtId="49" fontId="0" fillId="0" borderId="0" xfId="0" applyNumberFormat="1">
      <alignment vertical="center"/>
    </xf>
    <xf numFmtId="49" fontId="0" fillId="0" borderId="1" xfId="0" applyNumberFormat="1" applyBorder="1">
      <alignment vertical="center"/>
    </xf>
    <xf numFmtId="49" fontId="0" fillId="0" borderId="1" xfId="0" applyNumberFormat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>
      <alignment vertical="center"/>
    </xf>
    <xf numFmtId="0" fontId="5" fillId="3" borderId="1" xfId="0" applyFont="1" applyFill="1" applyBorder="1" applyAlignment="1">
      <alignment vertical="center" wrapText="1"/>
    </xf>
    <xf numFmtId="0" fontId="5" fillId="3" borderId="1" xfId="0" quotePrefix="1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>
      <alignment vertical="center"/>
    </xf>
    <xf numFmtId="0" fontId="5" fillId="3" borderId="0" xfId="0" applyFont="1" applyFill="1">
      <alignment vertical="center"/>
    </xf>
    <xf numFmtId="0" fontId="2" fillId="2" borderId="1" xfId="1" applyBorder="1" applyAlignment="1">
      <alignment vertical="center"/>
    </xf>
    <xf numFmtId="49" fontId="0" fillId="0" borderId="1" xfId="0" applyNumberFormat="1" applyBorder="1" applyAlignment="1">
      <alignment vertical="center"/>
    </xf>
    <xf numFmtId="49" fontId="0" fillId="0" borderId="0" xfId="0" applyNumberFormat="1" applyAlignment="1">
      <alignment vertical="center"/>
    </xf>
    <xf numFmtId="0" fontId="0" fillId="4" borderId="1" xfId="1" applyFont="1" applyFill="1" applyBorder="1" applyAlignment="1">
      <alignment horizontal="center" vertical="center"/>
    </xf>
    <xf numFmtId="0" fontId="0" fillId="5" borderId="1" xfId="0" quotePrefix="1" applyFill="1" applyBorder="1" applyAlignment="1">
      <alignment vertical="center" wrapText="1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2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7" fillId="0" borderId="5" xfId="0" applyFont="1" applyBorder="1" applyAlignment="1">
      <alignment horizontal="left" vertical="center"/>
    </xf>
  </cellXfs>
  <cellStyles count="3">
    <cellStyle name="60% - 강조색3" xfId="1" builtinId="40"/>
    <cellStyle name="표준" xfId="0" builtinId="0"/>
    <cellStyle name="표준 3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45873</xdr:colOff>
      <xdr:row>5</xdr:row>
      <xdr:rowOff>36635</xdr:rowOff>
    </xdr:from>
    <xdr:to>
      <xdr:col>4</xdr:col>
      <xdr:colOff>8435506</xdr:colOff>
      <xdr:row>5</xdr:row>
      <xdr:rowOff>2610583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7B436E59-5D93-40FE-AA22-9AC2F7E00C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37" t="982" r="2903" b="30329"/>
        <a:stretch/>
      </xdr:blipFill>
      <xdr:spPr>
        <a:xfrm>
          <a:off x="8472697" y="5558894"/>
          <a:ext cx="8385823" cy="2564423"/>
        </a:xfrm>
        <a:prstGeom prst="rect">
          <a:avLst/>
        </a:prstGeom>
      </xdr:spPr>
    </xdr:pic>
    <xdr:clientData/>
  </xdr:twoCellAnchor>
  <xdr:twoCellAnchor editAs="oneCell">
    <xdr:from>
      <xdr:col>4</xdr:col>
      <xdr:colOff>57979</xdr:colOff>
      <xdr:row>4</xdr:row>
      <xdr:rowOff>92528</xdr:rowOff>
    </xdr:from>
    <xdr:to>
      <xdr:col>4</xdr:col>
      <xdr:colOff>8436170</xdr:colOff>
      <xdr:row>4</xdr:row>
      <xdr:rowOff>3694045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C420C66B-AD0C-41EE-88BB-846B163270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8" t="708" r="845" b="2330"/>
        <a:stretch/>
      </xdr:blipFill>
      <xdr:spPr>
        <a:xfrm>
          <a:off x="8484803" y="1867540"/>
          <a:ext cx="8382001" cy="3601517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0"/>
  <sheetViews>
    <sheetView tabSelected="1" zoomScale="85" zoomScaleNormal="85" workbookViewId="0"/>
  </sheetViews>
  <sheetFormatPr defaultRowHeight="17.399999999999999" x14ac:dyDescent="0.4"/>
  <cols>
    <col min="2" max="2" width="9" style="3"/>
    <col min="3" max="3" width="27.59765625" bestFit="1" customWidth="1"/>
    <col min="4" max="4" width="64.69921875" customWidth="1"/>
    <col min="5" max="5" width="64.09765625" customWidth="1"/>
    <col min="6" max="6" width="76.59765625" customWidth="1"/>
    <col min="8" max="8" width="50.296875" customWidth="1"/>
  </cols>
  <sheetData>
    <row r="2" spans="2:8" x14ac:dyDescent="0.4">
      <c r="B2" s="7" t="s">
        <v>2</v>
      </c>
      <c r="C2" s="7" t="s">
        <v>0</v>
      </c>
      <c r="D2" s="12" t="s">
        <v>96</v>
      </c>
      <c r="E2" s="7" t="s">
        <v>1</v>
      </c>
      <c r="F2" s="28" t="s">
        <v>97</v>
      </c>
    </row>
    <row r="3" spans="2:8" ht="34.799999999999997" x14ac:dyDescent="0.4">
      <c r="B3" s="8">
        <f>ROW() - ROW($B$2)</f>
        <v>1</v>
      </c>
      <c r="C3" s="6" t="s">
        <v>10</v>
      </c>
      <c r="D3" s="6" t="s">
        <v>23</v>
      </c>
      <c r="E3" s="5" t="s">
        <v>24</v>
      </c>
      <c r="F3" s="5" t="s">
        <v>70</v>
      </c>
      <c r="H3" s="2"/>
    </row>
    <row r="4" spans="2:8" ht="121.8" x14ac:dyDescent="0.4">
      <c r="B4" s="8">
        <f t="shared" ref="B4:B19" si="0">ROW() - ROW($B$2)</f>
        <v>2</v>
      </c>
      <c r="C4" s="6" t="s">
        <v>13</v>
      </c>
      <c r="D4" s="4" t="s">
        <v>25</v>
      </c>
      <c r="E4" s="11" t="s">
        <v>26</v>
      </c>
      <c r="F4" s="5" t="s">
        <v>71</v>
      </c>
    </row>
    <row r="5" spans="2:8" ht="139.19999999999999" x14ac:dyDescent="0.4">
      <c r="B5" s="8">
        <f t="shared" si="0"/>
        <v>3</v>
      </c>
      <c r="C5" s="6" t="s">
        <v>3</v>
      </c>
      <c r="D5" s="4" t="s">
        <v>62</v>
      </c>
      <c r="E5" s="11"/>
      <c r="F5" s="5" t="s">
        <v>99</v>
      </c>
    </row>
    <row r="6" spans="2:8" s="24" customFormat="1" x14ac:dyDescent="0.4">
      <c r="B6" s="22">
        <f t="shared" si="0"/>
        <v>4</v>
      </c>
      <c r="C6" s="23" t="s">
        <v>16</v>
      </c>
      <c r="D6" s="20" t="s">
        <v>48</v>
      </c>
      <c r="E6" s="23" t="s">
        <v>7</v>
      </c>
      <c r="F6" s="21"/>
    </row>
    <row r="7" spans="2:8" ht="104.4" x14ac:dyDescent="0.4">
      <c r="B7" s="8">
        <f t="shared" si="0"/>
        <v>5</v>
      </c>
      <c r="C7" s="9" t="s">
        <v>11</v>
      </c>
      <c r="D7" s="4" t="s">
        <v>27</v>
      </c>
      <c r="E7" s="5"/>
      <c r="F7" s="5" t="s">
        <v>72</v>
      </c>
    </row>
    <row r="8" spans="2:8" s="24" customFormat="1" ht="52.2" x14ac:dyDescent="0.4">
      <c r="B8" s="22">
        <f t="shared" si="0"/>
        <v>6</v>
      </c>
      <c r="C8" s="23" t="s">
        <v>5</v>
      </c>
      <c r="D8" s="20" t="s">
        <v>49</v>
      </c>
      <c r="E8" s="23"/>
      <c r="F8" s="21"/>
    </row>
    <row r="9" spans="2:8" ht="121.8" x14ac:dyDescent="0.4">
      <c r="B9" s="8">
        <f t="shared" si="0"/>
        <v>7</v>
      </c>
      <c r="C9" s="6" t="s">
        <v>6</v>
      </c>
      <c r="D9" s="4" t="s">
        <v>51</v>
      </c>
      <c r="E9" s="4"/>
      <c r="F9" s="5" t="s">
        <v>100</v>
      </c>
      <c r="H9" s="2"/>
    </row>
    <row r="10" spans="2:8" s="24" customFormat="1" ht="52.2" x14ac:dyDescent="0.4">
      <c r="B10" s="22">
        <f t="shared" si="0"/>
        <v>8</v>
      </c>
      <c r="C10" s="23" t="s">
        <v>44</v>
      </c>
      <c r="D10" s="20" t="s">
        <v>50</v>
      </c>
      <c r="E10" s="23"/>
      <c r="F10" s="21"/>
    </row>
    <row r="11" spans="2:8" ht="52.2" x14ac:dyDescent="0.4">
      <c r="B11" s="8">
        <f t="shared" si="0"/>
        <v>9</v>
      </c>
      <c r="C11" s="6" t="s">
        <v>30</v>
      </c>
      <c r="D11" s="4" t="s">
        <v>33</v>
      </c>
      <c r="E11" s="4"/>
      <c r="F11" s="29" t="s">
        <v>73</v>
      </c>
    </row>
    <row r="12" spans="2:8" ht="69.599999999999994" x14ac:dyDescent="0.4">
      <c r="B12" s="8">
        <f t="shared" si="0"/>
        <v>10</v>
      </c>
      <c r="C12" s="6" t="s">
        <v>32</v>
      </c>
      <c r="D12" s="4" t="s">
        <v>34</v>
      </c>
      <c r="E12" s="4" t="s">
        <v>31</v>
      </c>
      <c r="F12" s="5" t="s">
        <v>74</v>
      </c>
    </row>
    <row r="13" spans="2:8" ht="104.4" x14ac:dyDescent="0.4">
      <c r="B13" s="8">
        <f t="shared" si="0"/>
        <v>11</v>
      </c>
      <c r="C13" s="6" t="s">
        <v>14</v>
      </c>
      <c r="D13" s="6" t="s">
        <v>4</v>
      </c>
      <c r="E13" s="5" t="s">
        <v>12</v>
      </c>
      <c r="F13" s="5" t="s">
        <v>75</v>
      </c>
    </row>
    <row r="14" spans="2:8" ht="69.599999999999994" x14ac:dyDescent="0.4">
      <c r="B14" s="8">
        <f t="shared" si="0"/>
        <v>12</v>
      </c>
      <c r="C14" s="6" t="s">
        <v>15</v>
      </c>
      <c r="D14" s="4" t="s">
        <v>47</v>
      </c>
      <c r="E14" s="5"/>
      <c r="F14" s="5" t="s">
        <v>76</v>
      </c>
    </row>
    <row r="15" spans="2:8" ht="52.2" x14ac:dyDescent="0.4">
      <c r="B15" s="8">
        <f t="shared" si="0"/>
        <v>13</v>
      </c>
      <c r="C15" s="6" t="s">
        <v>17</v>
      </c>
      <c r="D15" s="4" t="s">
        <v>52</v>
      </c>
      <c r="E15" s="11" t="s">
        <v>63</v>
      </c>
      <c r="F15" s="5" t="s">
        <v>64</v>
      </c>
    </row>
    <row r="16" spans="2:8" ht="104.4" x14ac:dyDescent="0.4">
      <c r="B16" s="8">
        <f t="shared" si="0"/>
        <v>14</v>
      </c>
      <c r="C16" s="6" t="s">
        <v>28</v>
      </c>
      <c r="D16" s="4" t="s">
        <v>45</v>
      </c>
      <c r="E16" s="5" t="s">
        <v>29</v>
      </c>
      <c r="F16" s="29" t="s">
        <v>77</v>
      </c>
    </row>
    <row r="17" spans="2:6" ht="52.2" x14ac:dyDescent="0.4">
      <c r="B17" s="8">
        <f t="shared" si="0"/>
        <v>15</v>
      </c>
      <c r="C17" s="6" t="s">
        <v>8</v>
      </c>
      <c r="D17" s="4" t="s">
        <v>46</v>
      </c>
      <c r="E17" s="6"/>
      <c r="F17" s="5" t="s">
        <v>78</v>
      </c>
    </row>
    <row r="18" spans="2:6" x14ac:dyDescent="0.4">
      <c r="B18" s="8">
        <f t="shared" si="0"/>
        <v>16</v>
      </c>
      <c r="C18" s="13" t="s">
        <v>56</v>
      </c>
      <c r="D18" s="6"/>
      <c r="E18" s="14" t="s">
        <v>58</v>
      </c>
      <c r="F18" s="6" t="s">
        <v>65</v>
      </c>
    </row>
    <row r="19" spans="2:6" x14ac:dyDescent="0.4">
      <c r="B19" s="8">
        <f t="shared" si="0"/>
        <v>17</v>
      </c>
      <c r="C19" s="13" t="s">
        <v>57</v>
      </c>
      <c r="D19" s="6"/>
      <c r="E19" s="14" t="s">
        <v>59</v>
      </c>
      <c r="F19" s="6" t="s">
        <v>66</v>
      </c>
    </row>
    <row r="20" spans="2:6" ht="34.799999999999997" x14ac:dyDescent="0.4">
      <c r="B20" s="8">
        <v>18</v>
      </c>
      <c r="C20" s="13" t="s">
        <v>60</v>
      </c>
      <c r="D20" s="14" t="s">
        <v>61</v>
      </c>
      <c r="E20" s="6"/>
      <c r="F20" s="4" t="s">
        <v>67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34"/>
  <sheetViews>
    <sheetView zoomScale="85" zoomScaleNormal="85" workbookViewId="0"/>
  </sheetViews>
  <sheetFormatPr defaultRowHeight="17.399999999999999" x14ac:dyDescent="0.4"/>
  <cols>
    <col min="2" max="2" width="9" style="3"/>
    <col min="3" max="3" width="23.59765625" bestFit="1" customWidth="1"/>
    <col min="4" max="4" width="69" customWidth="1"/>
    <col min="5" max="5" width="115.19921875" customWidth="1"/>
    <col min="6" max="6" width="46.69921875" customWidth="1"/>
    <col min="9" max="9" width="44.69921875" customWidth="1"/>
  </cols>
  <sheetData>
    <row r="2" spans="2:9" x14ac:dyDescent="0.4">
      <c r="B2" s="7" t="s">
        <v>2</v>
      </c>
      <c r="C2" s="7" t="s">
        <v>0</v>
      </c>
      <c r="D2" s="12" t="s">
        <v>96</v>
      </c>
      <c r="E2" s="7" t="s">
        <v>1</v>
      </c>
      <c r="F2" s="28" t="s">
        <v>97</v>
      </c>
    </row>
    <row r="3" spans="2:9" ht="52.2" x14ac:dyDescent="0.4">
      <c r="B3" s="8">
        <f>ROW() - ROW($B$2)</f>
        <v>1</v>
      </c>
      <c r="C3" s="6" t="s">
        <v>9</v>
      </c>
      <c r="D3" s="4" t="s">
        <v>36</v>
      </c>
      <c r="E3" s="5"/>
      <c r="F3" s="5" t="s">
        <v>98</v>
      </c>
    </row>
    <row r="4" spans="2:9" ht="52.2" x14ac:dyDescent="0.4">
      <c r="B4" s="33">
        <f t="shared" ref="B4" si="0">ROW() - ROW($B$2)</f>
        <v>2</v>
      </c>
      <c r="C4" s="30" t="s">
        <v>35</v>
      </c>
      <c r="D4" s="4" t="s">
        <v>53</v>
      </c>
      <c r="E4" s="4"/>
      <c r="F4" s="5" t="s">
        <v>104</v>
      </c>
    </row>
    <row r="5" spans="2:9" ht="295.5" customHeight="1" x14ac:dyDescent="0.4">
      <c r="B5" s="34"/>
      <c r="C5" s="31"/>
      <c r="D5" s="10" t="s">
        <v>18</v>
      </c>
      <c r="E5" s="5"/>
      <c r="F5" s="29" t="s">
        <v>103</v>
      </c>
      <c r="I5" s="2"/>
    </row>
    <row r="6" spans="2:9" ht="217.5" customHeight="1" x14ac:dyDescent="0.4">
      <c r="B6" s="35"/>
      <c r="C6" s="32"/>
      <c r="D6" s="10" t="s">
        <v>19</v>
      </c>
      <c r="E6" s="6"/>
      <c r="F6" s="5"/>
    </row>
    <row r="7" spans="2:9" ht="52.2" x14ac:dyDescent="0.4">
      <c r="B7" s="8">
        <f>ROW() - ROW($B$2)-2</f>
        <v>3</v>
      </c>
      <c r="C7" s="6" t="s">
        <v>22</v>
      </c>
      <c r="D7" s="4" t="s">
        <v>54</v>
      </c>
      <c r="E7" s="5"/>
      <c r="F7" s="5" t="s">
        <v>68</v>
      </c>
    </row>
    <row r="8" spans="2:9" x14ac:dyDescent="0.4">
      <c r="E8" s="1"/>
    </row>
    <row r="27" spans="4:4" x14ac:dyDescent="0.4">
      <c r="D27" s="1"/>
    </row>
    <row r="34" spans="4:4" x14ac:dyDescent="0.4">
      <c r="D34" s="1"/>
    </row>
  </sheetData>
  <mergeCells count="2">
    <mergeCell ref="C4:C6"/>
    <mergeCell ref="B4:B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31"/>
  <sheetViews>
    <sheetView zoomScaleNormal="100" workbookViewId="0">
      <selection activeCell="D5" sqref="D5"/>
    </sheetView>
  </sheetViews>
  <sheetFormatPr defaultRowHeight="17.399999999999999" x14ac:dyDescent="0.4"/>
  <cols>
    <col min="2" max="2" width="9" style="3"/>
    <col min="3" max="3" width="41.8984375" customWidth="1"/>
    <col min="4" max="4" width="62.8984375" customWidth="1"/>
    <col min="5" max="5" width="65.59765625" customWidth="1"/>
    <col min="6" max="6" width="38.19921875" customWidth="1"/>
    <col min="9" max="9" width="44.69921875" customWidth="1"/>
  </cols>
  <sheetData>
    <row r="2" spans="2:6" x14ac:dyDescent="0.4">
      <c r="B2" s="7" t="s">
        <v>2</v>
      </c>
      <c r="C2" s="7" t="s">
        <v>0</v>
      </c>
      <c r="D2" s="12" t="s">
        <v>96</v>
      </c>
      <c r="E2" s="7" t="s">
        <v>1</v>
      </c>
      <c r="F2" s="28" t="s">
        <v>97</v>
      </c>
    </row>
    <row r="3" spans="2:6" x14ac:dyDescent="0.4">
      <c r="B3" s="22">
        <f>ROW() - ROW($B$2)</f>
        <v>1</v>
      </c>
      <c r="C3" s="23" t="s">
        <v>39</v>
      </c>
      <c r="D3" s="20" t="s">
        <v>41</v>
      </c>
      <c r="E3" s="21" t="s">
        <v>40</v>
      </c>
      <c r="F3" s="21"/>
    </row>
    <row r="4" spans="2:6" ht="87" x14ac:dyDescent="0.4">
      <c r="B4" s="8">
        <f>ROW() - ROW($B$2)</f>
        <v>2</v>
      </c>
      <c r="C4" s="6" t="s">
        <v>43</v>
      </c>
      <c r="D4" s="4" t="s">
        <v>38</v>
      </c>
      <c r="E4" s="5"/>
      <c r="F4" s="5" t="s">
        <v>82</v>
      </c>
    </row>
    <row r="5" spans="2:6" ht="87" x14ac:dyDescent="0.4">
      <c r="B5" s="8">
        <f>ROW() - ROW($B$2)</f>
        <v>3</v>
      </c>
      <c r="C5" s="6" t="s">
        <v>42</v>
      </c>
      <c r="D5" s="4" t="s">
        <v>38</v>
      </c>
      <c r="E5" s="5"/>
      <c r="F5" s="5" t="s">
        <v>81</v>
      </c>
    </row>
    <row r="6" spans="2:6" ht="87" x14ac:dyDescent="0.4">
      <c r="B6" s="18">
        <f t="shared" ref="B6:B7" si="0">ROW() - ROW($B$2)</f>
        <v>4</v>
      </c>
      <c r="C6" s="19" t="s">
        <v>20</v>
      </c>
      <c r="D6" s="20" t="s">
        <v>55</v>
      </c>
      <c r="E6" s="21"/>
      <c r="F6" s="21"/>
    </row>
    <row r="7" spans="2:6" ht="104.4" x14ac:dyDescent="0.4">
      <c r="B7" s="18">
        <f t="shared" si="0"/>
        <v>5</v>
      </c>
      <c r="C7" s="19" t="s">
        <v>21</v>
      </c>
      <c r="D7" s="20" t="s">
        <v>37</v>
      </c>
      <c r="E7" s="21"/>
      <c r="F7" s="21"/>
    </row>
    <row r="12" spans="2:6" x14ac:dyDescent="0.4">
      <c r="C12" s="15"/>
      <c r="D12" s="15"/>
    </row>
    <row r="13" spans="2:6" x14ac:dyDescent="0.4">
      <c r="C13" s="15"/>
      <c r="D13" s="15"/>
    </row>
    <row r="14" spans="2:6" x14ac:dyDescent="0.4">
      <c r="C14" s="15"/>
      <c r="D14" s="2"/>
    </row>
    <row r="15" spans="2:6" x14ac:dyDescent="0.4">
      <c r="C15" s="15"/>
    </row>
    <row r="16" spans="2:6" x14ac:dyDescent="0.4">
      <c r="C16" s="15"/>
      <c r="D16" s="2"/>
    </row>
    <row r="17" spans="2:4" x14ac:dyDescent="0.4">
      <c r="C17" s="15"/>
    </row>
    <row r="24" spans="2:4" x14ac:dyDescent="0.4">
      <c r="B24"/>
      <c r="C24" s="15"/>
    </row>
    <row r="25" spans="2:4" x14ac:dyDescent="0.4">
      <c r="C25" s="15"/>
      <c r="D25" s="15"/>
    </row>
    <row r="26" spans="2:4" x14ac:dyDescent="0.4">
      <c r="C26" s="15"/>
      <c r="D26" s="15"/>
    </row>
    <row r="27" spans="2:4" x14ac:dyDescent="0.4">
      <c r="C27" s="15"/>
      <c r="D27" s="15"/>
    </row>
    <row r="31" spans="2:4" x14ac:dyDescent="0.4">
      <c r="B3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1B6C2-3E92-43FF-B207-480F22CBB96C}">
  <dimension ref="B2:E17"/>
  <sheetViews>
    <sheetView workbookViewId="0"/>
  </sheetViews>
  <sheetFormatPr defaultRowHeight="17.399999999999999" x14ac:dyDescent="0.4"/>
  <cols>
    <col min="1" max="1" width="8.796875" style="15"/>
    <col min="2" max="2" width="8.796875" style="27"/>
    <col min="3" max="3" width="13.69921875" style="15" bestFit="1" customWidth="1"/>
    <col min="4" max="4" width="90.296875" style="15" customWidth="1"/>
    <col min="5" max="5" width="102.69921875" style="15" customWidth="1"/>
    <col min="6" max="16384" width="8.796875" style="15"/>
  </cols>
  <sheetData>
    <row r="2" spans="2:5" x14ac:dyDescent="0.4">
      <c r="B2" s="36" t="s">
        <v>86</v>
      </c>
      <c r="C2" s="36"/>
    </row>
    <row r="3" spans="2:5" x14ac:dyDescent="0.4">
      <c r="B3" s="25" t="s">
        <v>2</v>
      </c>
      <c r="C3" s="12" t="s">
        <v>94</v>
      </c>
      <c r="D3" s="12" t="s">
        <v>0</v>
      </c>
    </row>
    <row r="4" spans="2:5" ht="156.6" x14ac:dyDescent="0.4">
      <c r="B4" s="26" t="s">
        <v>87</v>
      </c>
      <c r="C4" s="16" t="s">
        <v>79</v>
      </c>
      <c r="D4" s="17" t="s">
        <v>95</v>
      </c>
      <c r="E4"/>
    </row>
    <row r="5" spans="2:5" x14ac:dyDescent="0.4">
      <c r="B5" s="26" t="s">
        <v>88</v>
      </c>
      <c r="C5" s="16" t="s">
        <v>80</v>
      </c>
      <c r="D5" s="17" t="s">
        <v>83</v>
      </c>
    </row>
    <row r="6" spans="2:5" x14ac:dyDescent="0.4">
      <c r="B6" s="26" t="s">
        <v>89</v>
      </c>
      <c r="C6" s="16" t="s">
        <v>80</v>
      </c>
      <c r="D6" s="4" t="s">
        <v>92</v>
      </c>
    </row>
    <row r="7" spans="2:5" x14ac:dyDescent="0.4">
      <c r="B7" s="26" t="s">
        <v>90</v>
      </c>
      <c r="C7" s="16" t="s">
        <v>80</v>
      </c>
      <c r="D7" s="6" t="s">
        <v>84</v>
      </c>
    </row>
    <row r="8" spans="2:5" x14ac:dyDescent="0.4">
      <c r="B8" s="26" t="s">
        <v>91</v>
      </c>
      <c r="C8" s="16" t="s">
        <v>80</v>
      </c>
      <c r="D8" s="16" t="s">
        <v>85</v>
      </c>
    </row>
    <row r="11" spans="2:5" x14ac:dyDescent="0.4">
      <c r="B11" s="36" t="s">
        <v>93</v>
      </c>
      <c r="C11" s="36"/>
    </row>
    <row r="12" spans="2:5" x14ac:dyDescent="0.4">
      <c r="B12" s="25" t="s">
        <v>2</v>
      </c>
      <c r="C12" s="12" t="s">
        <v>94</v>
      </c>
      <c r="D12" s="12" t="s">
        <v>0</v>
      </c>
    </row>
    <row r="13" spans="2:5" ht="34.799999999999997" x14ac:dyDescent="0.4">
      <c r="B13" s="26" t="s">
        <v>87</v>
      </c>
      <c r="C13" s="16" t="s">
        <v>80</v>
      </c>
      <c r="D13" s="2" t="s">
        <v>69</v>
      </c>
    </row>
    <row r="14" spans="2:5" ht="34.799999999999997" x14ac:dyDescent="0.4">
      <c r="B14" s="26" t="s">
        <v>88</v>
      </c>
      <c r="C14" s="16" t="s">
        <v>102</v>
      </c>
      <c r="D14" s="17" t="s">
        <v>101</v>
      </c>
    </row>
    <row r="15" spans="2:5" x14ac:dyDescent="0.4">
      <c r="B15" s="26"/>
      <c r="C15" s="16"/>
      <c r="D15" s="4"/>
    </row>
    <row r="16" spans="2:5" x14ac:dyDescent="0.4">
      <c r="B16" s="26"/>
      <c r="C16" s="16"/>
      <c r="D16" s="6"/>
    </row>
    <row r="17" spans="2:4" x14ac:dyDescent="0.4">
      <c r="B17" s="26"/>
      <c r="C17" s="16"/>
      <c r="D17" s="16"/>
    </row>
  </sheetData>
  <mergeCells count="2">
    <mergeCell ref="B2:C2"/>
    <mergeCell ref="B11:C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공통</vt:lpstr>
      <vt:lpstr>(AD)</vt:lpstr>
      <vt:lpstr>(Exch)</vt:lpstr>
      <vt:lpstr>ETC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이해운</dc:creator>
  <cp:lastModifiedBy>이윤정</cp:lastModifiedBy>
  <dcterms:created xsi:type="dcterms:W3CDTF">2021-01-07T04:51:06Z</dcterms:created>
  <dcterms:modified xsi:type="dcterms:W3CDTF">2026-03-10T09:06:39Z</dcterms:modified>
</cp:coreProperties>
</file>