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D:\NaverCloud\PC-SHARE\03.Team\05.문서템플릿\템플릿 업로드\000.관리\010.의사소통관리\"/>
    </mc:Choice>
  </mc:AlternateContent>
  <xr:revisionPtr revIDLastSave="0" documentId="8_{82578675-D349-4378-80CD-99E1B0436241}" xr6:coauthVersionLast="44" xr6:coauthVersionMax="44" xr10:uidLastSave="{00000000-0000-0000-0000-000000000000}"/>
  <bookViews>
    <workbookView xWindow="2205" yWindow="-15675" windowWidth="24480" windowHeight="14070" xr2:uid="{00000000-000D-0000-FFFF-FFFF00000000}"/>
  </bookViews>
  <sheets>
    <sheet name="Prj 주간실적" sheetId="2" r:id="rId1"/>
    <sheet name="Prj Activity 관리" sheetId="17" r:id="rId2"/>
    <sheet name="Prj Risk관리" sheetId="3" r:id="rId3"/>
    <sheet name="Prj 이슈관리" sheetId="4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</externalReferences>
  <definedNames>
    <definedName name="_Fill" localSheetId="1" hidden="1">[1]합천내역!#REF!</definedName>
    <definedName name="_Fill" hidden="1">[1]합천내역!#REF!</definedName>
    <definedName name="_IVR2">'[2]Recording,Phone,Headset,PC'!$A$1:$D$106</definedName>
    <definedName name="_Key1" localSheetId="1" hidden="1">#REF!</definedName>
    <definedName name="_Key1" hidden="1">#REF!</definedName>
    <definedName name="_Key2" localSheetId="1" hidden="1">#REF!</definedName>
    <definedName name="_Key2" hidden="1">#REF!</definedName>
    <definedName name="_me07" localSheetId="1">#REF!</definedName>
    <definedName name="_me07">#REF!</definedName>
    <definedName name="_Order1" hidden="1">255</definedName>
    <definedName name="_Order2" hidden="1">255</definedName>
    <definedName name="_Sort" localSheetId="1" hidden="1">#REF!</definedName>
    <definedName name="_Sort" hidden="1">#REF!</definedName>
    <definedName name="AA" localSheetId="1" hidden="1">{"'Sheet1'!$A$1:$J$57","'Sheet1'!$F$32:$F$35","'Sheet1'!$F$32:$F$36"}</definedName>
    <definedName name="AA" hidden="1">{"'Sheet1'!$A$1:$J$57","'Sheet1'!$F$32:$F$35","'Sheet1'!$F$32:$F$36"}</definedName>
    <definedName name="AB" localSheetId="1" hidden="1">{"'Sheet1'!$A$1:$J$57","'Sheet1'!$F$32:$F$35","'Sheet1'!$F$32:$F$36"}</definedName>
    <definedName name="AB" hidden="1">{"'Sheet1'!$A$1:$J$57","'Sheet1'!$F$32:$F$35","'Sheet1'!$F$32:$F$36"}</definedName>
    <definedName name="ADAM">68%</definedName>
    <definedName name="ADAM_Discount_std">68%</definedName>
    <definedName name="Admin_connectivity">[3]Parameters!$B$14</definedName>
    <definedName name="afaga" localSheetId="1" hidden="1">{"'Sheet1'!$A$1:$J$57","'Sheet1'!$F$32:$F$35","'Sheet1'!$F$32:$F$36"}</definedName>
    <definedName name="afaga" hidden="1">{"'Sheet1'!$A$1:$J$57","'Sheet1'!$F$32:$F$35","'Sheet1'!$F$32:$F$36"}</definedName>
    <definedName name="AG" localSheetId="1" hidden="1">{"'Sheet1'!$A$1:$J$57","'Sheet1'!$F$32:$F$35","'Sheet1'!$F$32:$F$36"}</definedName>
    <definedName name="AG" hidden="1">{"'Sheet1'!$A$1:$J$57","'Sheet1'!$F$32:$F$35","'Sheet1'!$F$32:$F$36"}</definedName>
    <definedName name="AP_Discount_Maximum">70%</definedName>
    <definedName name="AP_Discount_Std">60%</definedName>
    <definedName name="AP_Except_Disc">60%</definedName>
    <definedName name="Aus_Sales_Tax">22%</definedName>
    <definedName name="baseline" localSheetId="1">'[4]2.일정추적'!#REF!</definedName>
    <definedName name="baseline">'[4]2.일정추적'!#REF!</definedName>
    <definedName name="bb" localSheetId="1">#REF!</definedName>
    <definedName name="bb">#REF!</definedName>
    <definedName name="bias" localSheetId="1">#REF!</definedName>
    <definedName name="bias">#REF!</definedName>
    <definedName name="bot_line_amount1">[5]EPro!$G$16</definedName>
    <definedName name="bx8000_disc" localSheetId="1">#REF!</definedName>
    <definedName name="bx8000_disc">#REF!</definedName>
    <definedName name="bx9000_disc" localSheetId="1">#REF!</definedName>
    <definedName name="bx9000_disc">#REF!</definedName>
    <definedName name="cabinet_disc" localSheetId="1">#REF!</definedName>
    <definedName name="cabinet_disc">#REF!</definedName>
    <definedName name="cable_disc" localSheetId="1">#REF!</definedName>
    <definedName name="cable_disc">#REF!</definedName>
    <definedName name="Category" localSheetId="1">#REF!</definedName>
    <definedName name="Category">#REF!</definedName>
    <definedName name="cause" localSheetId="1">#REF!</definedName>
    <definedName name="cause">#REF!</definedName>
    <definedName name="CBC_BSC_TEI_License___Alcatel">[3]Parameters!$B$9</definedName>
    <definedName name="CBC_BSC_TEI_License___Ericcsson">[3]Parameters!$B$6</definedName>
    <definedName name="CBC_BSC_TEI_License___Lucent">[3]Parameters!$B$8</definedName>
    <definedName name="CBC_BSC_TEI_License___Motorola">[3]Parameters!$B$10</definedName>
    <definedName name="CBC_BSC_TEI_License___Nokia">[3]Parameters!$B$5</definedName>
    <definedName name="CBC_BSC_TEI_License___Nortel">[3]Parameters!$B$7</definedName>
    <definedName name="CBC_BSC_TEI_License___Siemens">[3]Parameters!$B$4</definedName>
    <definedName name="CBWorkbookPriority" hidden="1">-1929190545</definedName>
    <definedName name="cbx500_disc" localSheetId="1">#REF!</definedName>
    <definedName name="cbx500_disc">#REF!</definedName>
    <definedName name="cc" localSheetId="1">#REF!</definedName>
    <definedName name="cc">#REF!</definedName>
    <definedName name="Code" localSheetId="1">#REF!</definedName>
    <definedName name="Code">#REF!</definedName>
    <definedName name="COGSTable">[6]COGS!$A$4:$C$91</definedName>
    <definedName name="Comments" localSheetId="1">#REF!</definedName>
    <definedName name="Comments">#REF!</definedName>
    <definedName name="compiler" localSheetId="1">#REF!</definedName>
    <definedName name="compiler">#REF!</definedName>
    <definedName name="Cost" localSheetId="1">#REF!</definedName>
    <definedName name="Cost">#REF!</definedName>
    <definedName name="cs_01" localSheetId="1">#REF!</definedName>
    <definedName name="cs_01">#REF!</definedName>
    <definedName name="cs_02" localSheetId="1">#REF!</definedName>
    <definedName name="cs_02">#REF!</definedName>
    <definedName name="cs_03" localSheetId="1">#REF!</definedName>
    <definedName name="cs_03">#REF!</definedName>
    <definedName name="cs_04" localSheetId="1">#REF!</definedName>
    <definedName name="cs_04">#REF!</definedName>
    <definedName name="cs_05" localSheetId="1">#REF!</definedName>
    <definedName name="cs_05">#REF!</definedName>
    <definedName name="cs_06" localSheetId="1">#REF!</definedName>
    <definedName name="cs_06">#REF!</definedName>
    <definedName name="cs_07" localSheetId="1">#REF!</definedName>
    <definedName name="cs_07">#REF!</definedName>
    <definedName name="cs_08" localSheetId="1">#REF!</definedName>
    <definedName name="cs_08">#REF!</definedName>
    <definedName name="cs_09" localSheetId="1">#REF!</definedName>
    <definedName name="cs_09">#REF!</definedName>
    <definedName name="cs_10" localSheetId="1">#REF!</definedName>
    <definedName name="cs_10">#REF!</definedName>
    <definedName name="cs_11" localSheetId="1">#REF!</definedName>
    <definedName name="cs_11">#REF!</definedName>
    <definedName name="cs_12" localSheetId="1">#REF!</definedName>
    <definedName name="cs_12">#REF!</definedName>
    <definedName name="cs_13" localSheetId="1">#REF!</definedName>
    <definedName name="cs_13">#REF!</definedName>
    <definedName name="cs_14" localSheetId="1">#REF!</definedName>
    <definedName name="cs_14">#REF!</definedName>
    <definedName name="cs_15" localSheetId="1">#REF!</definedName>
    <definedName name="cs_15">#REF!</definedName>
    <definedName name="cs_16" localSheetId="1">#REF!</definedName>
    <definedName name="cs_16">#REF!</definedName>
    <definedName name="cs_17" localSheetId="1">#REF!</definedName>
    <definedName name="cs_17">#REF!</definedName>
    <definedName name="cs_18" localSheetId="1">#REF!</definedName>
    <definedName name="cs_18">#REF!</definedName>
    <definedName name="cs_19" localSheetId="1">#REF!</definedName>
    <definedName name="cs_19">#REF!</definedName>
    <definedName name="cs_20" localSheetId="1">#REF!</definedName>
    <definedName name="cs_20">#REF!</definedName>
    <definedName name="cs_21" localSheetId="1">#REF!</definedName>
    <definedName name="cs_21">#REF!</definedName>
    <definedName name="ctry_code">[7]CNF!$D$25</definedName>
    <definedName name="_xlnm.Database" localSheetId="1">#REF!</definedName>
    <definedName name="_xlnm.Database">#REF!</definedName>
    <definedName name="database2" localSheetId="1">#REF!</definedName>
    <definedName name="database2">#REF!</definedName>
    <definedName name="DataType" localSheetId="1">#REF!</definedName>
    <definedName name="DataType">#REF!</definedName>
    <definedName name="db">[8]Parameters!$B$14</definedName>
    <definedName name="dddd" localSheetId="1" hidden="1">{"'Sheet1'!$A$1:$J$57","'Sheet1'!$F$32:$F$35","'Sheet1'!$F$32:$F$36"}</definedName>
    <definedName name="dddd" hidden="1">{"'Sheet1'!$A$1:$J$57","'Sheet1'!$F$32:$F$35","'Sheet1'!$F$32:$F$36"}</definedName>
    <definedName name="Description" localSheetId="1">#REF!</definedName>
    <definedName name="Description">#REF!</definedName>
    <definedName name="dfgsdf" localSheetId="1">#REF!</definedName>
    <definedName name="dfgsdf">#REF!</definedName>
    <definedName name="DISA" localSheetId="1">#REF!</definedName>
    <definedName name="DISA">#REF!</definedName>
    <definedName name="DISB" localSheetId="1">#REF!</definedName>
    <definedName name="DISB">#REF!</definedName>
    <definedName name="DISC" localSheetId="1">#REF!</definedName>
    <definedName name="DISC">#REF!</definedName>
    <definedName name="Disc_3D">32%</definedName>
    <definedName name="DISD" localSheetId="1">#REF!</definedName>
    <definedName name="DISD">#REF!</definedName>
    <definedName name="DISE" localSheetId="1">#REF!</definedName>
    <definedName name="DISE">#REF!</definedName>
    <definedName name="DISF" localSheetId="1">'[9]Q-SHEET'!#REF!</definedName>
    <definedName name="DISF">'[9]Q-SHEET'!#REF!</definedName>
    <definedName name="DISR" localSheetId="1">#REF!</definedName>
    <definedName name="DISR">#REF!</definedName>
    <definedName name="DISS" localSheetId="1">#REF!</definedName>
    <definedName name="DISS">#REF!</definedName>
    <definedName name="doc_disc" localSheetId="1">#REF!</definedName>
    <definedName name="doc_disc">#REF!</definedName>
    <definedName name="Domain" localSheetId="1">#REF!</definedName>
    <definedName name="Domain">#REF!</definedName>
    <definedName name="donation" localSheetId="1">#REF!</definedName>
    <definedName name="donation">#REF!</definedName>
    <definedName name="driver" localSheetId="1">#REF!</definedName>
    <definedName name="driver">#REF!</definedName>
    <definedName name="dsasdasf" localSheetId="1">#REF!</definedName>
    <definedName name="dsasdasf">#REF!</definedName>
    <definedName name="ERPList" localSheetId="1">#REF!</definedName>
    <definedName name="ERPList">#REF!</definedName>
    <definedName name="errt" localSheetId="1">#REF!</definedName>
    <definedName name="errt">#REF!</definedName>
    <definedName name="Exceptions" localSheetId="1">#REF!</definedName>
    <definedName name="Exceptions">#REF!</definedName>
    <definedName name="External_CBE_Package">[3]Parameters!$B$18</definedName>
    <definedName name="External_Connectivity">[3]Parameters!$B$12</definedName>
    <definedName name="form" localSheetId="1">#REF!</definedName>
    <definedName name="form">#REF!</definedName>
    <definedName name="free_of_charge" localSheetId="1">#REF!</definedName>
    <definedName name="free_of_charge">#REF!</definedName>
    <definedName name="gh" localSheetId="1">#REF!</definedName>
    <definedName name="gh">#REF!</definedName>
    <definedName name="grf400_disc" localSheetId="1">#REF!</definedName>
    <definedName name="grf400_disc">#REF!</definedName>
    <definedName name="gx550_disc" localSheetId="1">#REF!</definedName>
    <definedName name="gx550_disc">#REF!</definedName>
    <definedName name="HH">[10]정부노임단가!$A$5:$F$215</definedName>
    <definedName name="hjlkh" localSheetId="1">#REF!</definedName>
    <definedName name="hjlkh">#REF!</definedName>
    <definedName name="html" localSheetId="1" hidden="1">{"'Sheet1'!$A$1:$J$57","'Sheet1'!$F$32:$F$35","'Sheet1'!$F$32:$F$36"}</definedName>
    <definedName name="html" hidden="1">{"'Sheet1'!$A$1:$J$57","'Sheet1'!$F$32:$F$35","'Sheet1'!$F$32:$F$36"}</definedName>
    <definedName name="HTML_CodePage" hidden="1">1252</definedName>
    <definedName name="HTML_Control" localSheetId="1" hidden="1">{"'Sheet1'!$A$1:$J$57","'Sheet1'!$F$32:$F$35","'Sheet1'!$F$32:$F$36"}</definedName>
    <definedName name="HTML_Control" hidden="1">{"'Sheet1'!$A$1:$J$57","'Sheet1'!$F$32:$F$35","'Sheet1'!$F$32:$F$36"}</definedName>
    <definedName name="HTML_Description" hidden="1">""</definedName>
    <definedName name="HTML_Email" hidden="1">""</definedName>
    <definedName name="HTML_Header" hidden="1">"Case 2"</definedName>
    <definedName name="HTML_LastUpdate" hidden="1">"6/21/98"</definedName>
    <definedName name="HTML_LineAfter" hidden="1">FALSE</definedName>
    <definedName name="HTML_LineBefore" hidden="1">FALSE</definedName>
    <definedName name="HTML_Name" hidden="1">"Robert Lau"</definedName>
    <definedName name="HTML_OBDlg2" hidden="1">TRUE</definedName>
    <definedName name="HTML_OBDlg4" hidden="1">TRUE</definedName>
    <definedName name="HTML_OS" hidden="1">0</definedName>
    <definedName name="HTML_PathFile" hidden="1">"C:\My Documents\Portal\Clients\NTT DoCoMo\Case 2.htm"</definedName>
    <definedName name="HTML_Title" hidden="1">"DoCoMo quotation (1,000,000)"</definedName>
    <definedName name="HTML1" localSheetId="1" hidden="1">{"'Sheet1'!$A$1:$J$57","'Sheet1'!$F$32:$F$35","'Sheet1'!$F$32:$F$36"}</definedName>
    <definedName name="HTML1" hidden="1">{"'Sheet1'!$A$1:$J$57","'Sheet1'!$F$32:$F$35","'Sheet1'!$F$32:$F$36"}</definedName>
    <definedName name="HTML2" localSheetId="1" hidden="1">{"'Sheet1'!$A$1:$J$57","'Sheet1'!$F$32:$F$35","'Sheet1'!$F$32:$F$36"}</definedName>
    <definedName name="HTML2" hidden="1">{"'Sheet1'!$A$1:$J$57","'Sheet1'!$F$32:$F$35","'Sheet1'!$F$32:$F$36"}</definedName>
    <definedName name="IP_disc" localSheetId="1">#REF!</definedName>
    <definedName name="IP_disc">#REF!</definedName>
    <definedName name="JAP_Discount_Std">60%</definedName>
    <definedName name="Japan_Discount">60%</definedName>
    <definedName name="JH">[11]정부노임단가!$A$5:$F$215</definedName>
    <definedName name="jhjl" localSheetId="1">#REF!</definedName>
    <definedName name="jhjl">#REF!</definedName>
    <definedName name="JJ">[12]정부노임단가!$A$5:$F$215</definedName>
    <definedName name="jkhlhk" localSheetId="1">#REF!</definedName>
    <definedName name="jkhlhk">#REF!</definedName>
    <definedName name="jlkh" localSheetId="1">#REF!</definedName>
    <definedName name="jlkh">#REF!</definedName>
    <definedName name="KK">[11]정부노임단가!$A$5:$F$215</definedName>
    <definedName name="LastLine" localSheetId="1">#REF!</definedName>
    <definedName name="LastLine">#REF!</definedName>
    <definedName name="List" localSheetId="1">#REF!</definedName>
    <definedName name="List">#REF!</definedName>
    <definedName name="ListPrice범위" localSheetId="1">#REF!</definedName>
    <definedName name="ListPrice범위">#REF!</definedName>
    <definedName name="Ltst_TestLog">"'Test log'"</definedName>
    <definedName name="Margin_MAC_3D">20%</definedName>
    <definedName name="Margin_New_3D">32%</definedName>
    <definedName name="MDL" localSheetId="1">#REF!</definedName>
    <definedName name="MDL">#REF!</definedName>
    <definedName name="me" localSheetId="1">[13]PBX!#REF!</definedName>
    <definedName name="me">[13]PBX!#REF!</definedName>
    <definedName name="me_01" localSheetId="1">#REF!</definedName>
    <definedName name="me_01">#REF!</definedName>
    <definedName name="me_02" localSheetId="1">#REF!</definedName>
    <definedName name="me_02">#REF!</definedName>
    <definedName name="me_03" localSheetId="1">#REF!</definedName>
    <definedName name="me_03">#REF!</definedName>
    <definedName name="me_04" localSheetId="1">#REF!</definedName>
    <definedName name="me_04">#REF!</definedName>
    <definedName name="me_05" localSheetId="1">#REF!</definedName>
    <definedName name="me_05">#REF!</definedName>
    <definedName name="me_06" localSheetId="1">#REF!</definedName>
    <definedName name="me_06">#REF!</definedName>
    <definedName name="me_07" localSheetId="1">#REF!</definedName>
    <definedName name="me_07">#REF!</definedName>
    <definedName name="me_08" localSheetId="1">#REF!</definedName>
    <definedName name="me_08">#REF!</definedName>
    <definedName name="me_09" localSheetId="1">#REF!</definedName>
    <definedName name="me_09">#REF!</definedName>
    <definedName name="me_10" localSheetId="1">#REF!</definedName>
    <definedName name="me_10">#REF!</definedName>
    <definedName name="me_11" localSheetId="1">#REF!</definedName>
    <definedName name="me_11">#REF!</definedName>
    <definedName name="me_12" localSheetId="1">#REF!</definedName>
    <definedName name="me_12">#REF!</definedName>
    <definedName name="me_13" localSheetId="1">#REF!</definedName>
    <definedName name="me_13">#REF!</definedName>
    <definedName name="me_14" localSheetId="1">#REF!</definedName>
    <definedName name="me_14">#REF!</definedName>
    <definedName name="me_15" localSheetId="1">#REF!</definedName>
    <definedName name="me_15">#REF!</definedName>
    <definedName name="me_16" localSheetId="1">#REF!</definedName>
    <definedName name="me_16">#REF!</definedName>
    <definedName name="me_17" localSheetId="1">#REF!</definedName>
    <definedName name="me_17">#REF!</definedName>
    <definedName name="me_18" localSheetId="1">#REF!</definedName>
    <definedName name="me_18">#REF!</definedName>
    <definedName name="me_19" localSheetId="1">#REF!</definedName>
    <definedName name="me_19">#REF!</definedName>
    <definedName name="me_20" localSheetId="1">#REF!</definedName>
    <definedName name="me_20">#REF!</definedName>
    <definedName name="me_21" localSheetId="1">#REF!</definedName>
    <definedName name="me_21">#REF!</definedName>
    <definedName name="me00" localSheetId="1">'[13]Recording,Phone,Headset'!#REF!</definedName>
    <definedName name="me00">'[13]Recording,Phone,Headset'!#REF!</definedName>
    <definedName name="menu" localSheetId="1">#REF!</definedName>
    <definedName name="menu">#REF!</definedName>
    <definedName name="MHIFieldList02">[14]환경변수!$C$6:$C$6</definedName>
    <definedName name="MHIFieldList04">[14]환경변수!$C$11:$C$17</definedName>
    <definedName name="MPC이익" localSheetId="1">#REF!</definedName>
    <definedName name="MPC이익">#REF!</definedName>
    <definedName name="MyLineDiscount" localSheetId="1">#REF!</definedName>
    <definedName name="MyLineDiscount">#REF!</definedName>
    <definedName name="net" localSheetId="1">#REF!</definedName>
    <definedName name="net">#REF!</definedName>
    <definedName name="net_total" localSheetId="1">[15]EPro!#REF!</definedName>
    <definedName name="net_total">[15]EPro!#REF!</definedName>
    <definedName name="Nms_disc" localSheetId="1">#REF!</definedName>
    <definedName name="Nms_disc">#REF!</definedName>
    <definedName name="no_disc" localSheetId="1">#REF!</definedName>
    <definedName name="no_disc">#REF!</definedName>
    <definedName name="nt" localSheetId="1">#REF!</definedName>
    <definedName name="nt">#REF!</definedName>
    <definedName name="NullOption" localSheetId="1">#REF!</definedName>
    <definedName name="NullOption">#REF!</definedName>
    <definedName name="NZ_Factor">(1/0.51)*1.02</definedName>
    <definedName name="of_Base_Tranciver_Stations">[3]Parameters!$B$11</definedName>
    <definedName name="OKI_Discount_std">64%</definedName>
    <definedName name="P1BHCA">[16]Master!$C$52</definedName>
    <definedName name="P1BHSM">[16]Master!$C$56</definedName>
    <definedName name="P1Phase">[16]Master!$C$48</definedName>
    <definedName name="P2BHCA">[16]Master!$D$52</definedName>
    <definedName name="P2BHSM">[16]Master!$D$56</definedName>
    <definedName name="P2Phase">[16]Master!$D$48</definedName>
    <definedName name="P3BHCA">[16]Master!$E$52</definedName>
    <definedName name="P3BHSM">[16]Master!$E$56</definedName>
    <definedName name="P3Phase">[16]Master!$E$48</definedName>
    <definedName name="P4BHCA">[16]Master!$F$52</definedName>
    <definedName name="P4BHSM">[16]Master!$F$56</definedName>
    <definedName name="P4Phase">[16]Master!$F$48</definedName>
    <definedName name="P5BHCA">[16]Master!$G$52</definedName>
    <definedName name="P5BHSM">[16]Master!$G$56</definedName>
    <definedName name="P5Phase">[16]Master!$G$48</definedName>
    <definedName name="Part_Number" localSheetId="1">#REF!</definedName>
    <definedName name="Part_Number">#REF!</definedName>
    <definedName name="plus" localSheetId="1">#REF!</definedName>
    <definedName name="plus">#REF!</definedName>
    <definedName name="_xlnm.Print_Area" localSheetId="1">#REF!</definedName>
    <definedName name="_xlnm.Print_Area">#REF!</definedName>
    <definedName name="Print_Title" localSheetId="1">#REF!</definedName>
    <definedName name="Print_Title">#REF!</definedName>
    <definedName name="ProjectName">[17]Start!$C$6</definedName>
    <definedName name="PSMultiplier" localSheetId="1">#REF!</definedName>
    <definedName name="PSMultiplier">#REF!</definedName>
    <definedName name="qq">[8]Parameters!$B$9</definedName>
    <definedName name="QuoteSheet" localSheetId="1">#REF!</definedName>
    <definedName name="QuoteSheet">#REF!</definedName>
    <definedName name="rb" localSheetId="1">#REF!</definedName>
    <definedName name="rb">#REF!</definedName>
    <definedName name="rdbms" localSheetId="1">#REF!</definedName>
    <definedName name="rdbms">#REF!</definedName>
    <definedName name="rdbms2" localSheetId="1">#REF!</definedName>
    <definedName name="rdbms2">#REF!</definedName>
    <definedName name="rla" localSheetId="1">#REF!</definedName>
    <definedName name="rla">#REF!</definedName>
    <definedName name="RNG" localSheetId="1">#REF!</definedName>
    <definedName name="RNG">#REF!</definedName>
    <definedName name="round" localSheetId="1">#REF!</definedName>
    <definedName name="round">#REF!</definedName>
    <definedName name="roundup" localSheetId="1">#REF!</definedName>
    <definedName name="roundup">#REF!</definedName>
    <definedName name="rpt_date">'[4]1.요약'!$C$4</definedName>
    <definedName name="rw" localSheetId="1">#REF!</definedName>
    <definedName name="rw">#REF!</definedName>
    <definedName name="sa100_disc" localSheetId="1">#REF!</definedName>
    <definedName name="sa100_disc">#REF!</definedName>
    <definedName name="SEC." localSheetId="1">#REF!</definedName>
    <definedName name="SEC.">#REF!</definedName>
    <definedName name="Severity" localSheetId="1">#REF!</definedName>
    <definedName name="Severity">#REF!</definedName>
    <definedName name="shipment" localSheetId="1">#REF!</definedName>
    <definedName name="shipment">#REF!</definedName>
    <definedName name="SiteName">[17]Start!$C$7</definedName>
    <definedName name="smpp">[3]Parameters!$B$19</definedName>
    <definedName name="SpanType">[16]Master!$B$15</definedName>
    <definedName name="ss" localSheetId="1">#REF!</definedName>
    <definedName name="ss">#REF!</definedName>
    <definedName name="State_of_Origin" localSheetId="1">#REF!</definedName>
    <definedName name="State_of_Origin">#REF!</definedName>
    <definedName name="tasc">[3]Parameters!$B$20</definedName>
    <definedName name="TBS_Discount_MAC">60%</definedName>
    <definedName name="TBS_Discount_New">66%</definedName>
    <definedName name="tm_01" localSheetId="1">#REF!</definedName>
    <definedName name="tm_01">#REF!</definedName>
    <definedName name="tm_02" localSheetId="1">#REF!</definedName>
    <definedName name="tm_02">#REF!</definedName>
    <definedName name="tm_03" localSheetId="1">#REF!</definedName>
    <definedName name="tm_03">#REF!</definedName>
    <definedName name="tm_04" localSheetId="1">#REF!</definedName>
    <definedName name="tm_04">#REF!</definedName>
    <definedName name="tm_05" localSheetId="1">#REF!</definedName>
    <definedName name="tm_05">#REF!</definedName>
    <definedName name="tm_06" localSheetId="1">#REF!</definedName>
    <definedName name="tm_06">#REF!</definedName>
    <definedName name="tm_07" localSheetId="1">#REF!</definedName>
    <definedName name="tm_07">#REF!</definedName>
    <definedName name="tm_08" localSheetId="1">#REF!</definedName>
    <definedName name="tm_08">#REF!</definedName>
    <definedName name="tm_09" localSheetId="1">#REF!</definedName>
    <definedName name="tm_09">#REF!</definedName>
    <definedName name="tm_10" localSheetId="1">#REF!</definedName>
    <definedName name="tm_10">#REF!</definedName>
    <definedName name="tm_11" localSheetId="1">#REF!</definedName>
    <definedName name="tm_11">#REF!</definedName>
    <definedName name="tm_12" localSheetId="1">#REF!</definedName>
    <definedName name="tm_12">#REF!</definedName>
    <definedName name="tm_13" localSheetId="1">#REF!</definedName>
    <definedName name="tm_13">#REF!</definedName>
    <definedName name="tm_14" localSheetId="1">#REF!</definedName>
    <definedName name="tm_14">#REF!</definedName>
    <definedName name="tm_15" localSheetId="1">#REF!</definedName>
    <definedName name="tm_15">#REF!</definedName>
    <definedName name="tm_16" localSheetId="1">#REF!</definedName>
    <definedName name="tm_16">#REF!</definedName>
    <definedName name="tol">'[4]4.1공수분석_개발'!$J$6</definedName>
    <definedName name="total" localSheetId="1">#REF!</definedName>
    <definedName name="total">#REF!</definedName>
    <definedName name="tpo" localSheetId="1">#REF!</definedName>
    <definedName name="tpo">#REF!</definedName>
    <definedName name="TRILOGUE_Connectivity">[3]Parameters!$B$13</definedName>
    <definedName name="unit" localSheetId="1">#REF!</definedName>
    <definedName name="unit">#REF!</definedName>
    <definedName name="ups" localSheetId="1" hidden="1">{"'Sheet1'!$A$1:$J$57","'Sheet1'!$F$32:$F$35","'Sheet1'!$F$32:$F$36"}</definedName>
    <definedName name="ups" hidden="1">{"'Sheet1'!$A$1:$J$57","'Sheet1'!$F$32:$F$35","'Sheet1'!$F$32:$F$36"}</definedName>
    <definedName name="US_CDN_EX_RATE">0.6711</definedName>
    <definedName name="user1" localSheetId="1">#REF!</definedName>
    <definedName name="user1">#REF!</definedName>
    <definedName name="user2" localSheetId="1">#REF!</definedName>
    <definedName name="user2">#REF!</definedName>
    <definedName name="VOIP" localSheetId="1">#REF!</definedName>
    <definedName name="VOIP">#REF!</definedName>
    <definedName name="web_access">[3]Parameters!$B$17</definedName>
    <definedName name="xzxz" localSheetId="1">#REF!</definedName>
    <definedName name="xzxz">#REF!</definedName>
    <definedName name="개선사항여부" localSheetId="1">#REF!</definedName>
    <definedName name="개선사항여부">#REF!</definedName>
    <definedName name="검색" localSheetId="1">#REF!</definedName>
    <definedName name="검색">#REF!</definedName>
    <definedName name="견적_최종2" localSheetId="1" hidden="1">{"'Sheet1'!$A$1:$J$57","'Sheet1'!$F$32:$F$35","'Sheet1'!$F$32:$F$36"}</definedName>
    <definedName name="견적_최종2" hidden="1">{"'Sheet1'!$A$1:$J$57","'Sheet1'!$F$32:$F$35","'Sheet1'!$F$32:$F$36"}</definedName>
    <definedName name="공" localSheetId="1" hidden="1">[18]합천내역!#REF!</definedName>
    <definedName name="공" hidden="1">[18]합천내역!#REF!</definedName>
    <definedName name="그래픽" localSheetId="1">#REF!</definedName>
    <definedName name="그래픽">#REF!</definedName>
    <definedName name="기능" localSheetId="1">#REF!</definedName>
    <definedName name="기능">#REF!</definedName>
    <definedName name="ㄴ" localSheetId="1">#REF!</definedName>
    <definedName name="ㄴ">#REF!</definedName>
    <definedName name="나" localSheetId="1">#REF!</definedName>
    <definedName name="나">#REF!</definedName>
    <definedName name="나이스" localSheetId="1">[19]서울1!#REF!</definedName>
    <definedName name="나이스">[19]서울1!#REF!</definedName>
    <definedName name="나이스이익" localSheetId="1">[19]서울1!#REF!</definedName>
    <definedName name="나이스이익">[19]서울1!#REF!</definedName>
    <definedName name="동화상" localSheetId="1">#REF!</definedName>
    <definedName name="동화상">#REF!</definedName>
    <definedName name="ㄹㄴㅁㅇ" localSheetId="1">#REF!</definedName>
    <definedName name="ㄹㄴㅁㅇ">#REF!</definedName>
    <definedName name="ㄹㅇㄴㅁ" localSheetId="1">#REF!</definedName>
    <definedName name="ㄹㅇㄴㅁ">#REF!</definedName>
    <definedName name="ㄹㅇㄴㅁㄹㄴㅁㅇ" localSheetId="1">#REF!</definedName>
    <definedName name="ㄹㅇㄴㅁㄹㄴㅁㅇ">#REF!</definedName>
    <definedName name="ㄹㅇㄴㅁㅎ" localSheetId="1">#REF!</definedName>
    <definedName name="ㄹㅇㄴㅁㅎ">#REF!</definedName>
    <definedName name="루슨트" localSheetId="1">[19]서울1!#REF!</definedName>
    <definedName name="루슨트">[19]서울1!#REF!</definedName>
    <definedName name="ㄻㄴㅇ" localSheetId="1">#REF!</definedName>
    <definedName name="ㄻㄴㅇ">#REF!</definedName>
    <definedName name="ㅁ" localSheetId="1" hidden="1">[1]합천내역!#REF!</definedName>
    <definedName name="ㅁ" hidden="1">[1]합천내역!#REF!</definedName>
    <definedName name="ㅁㄴㅇㄹ">[19]서울1!#REF!</definedName>
    <definedName name="ㅁㄹ" localSheetId="1">#REF!</definedName>
    <definedName name="ㅁㄹ">#REF!</definedName>
    <definedName name="梅兰日兰UPS" localSheetId="1" hidden="1">{"'Sheet1'!$A$1:$J$57","'Sheet1'!$F$32:$F$35","'Sheet1'!$F$32:$F$36"}</definedName>
    <definedName name="梅兰日兰UPS" hidden="1">{"'Sheet1'!$A$1:$J$57","'Sheet1'!$F$32:$F$35","'Sheet1'!$F$32:$F$36"}</definedName>
    <definedName name="모니터" localSheetId="1">#REF!</definedName>
    <definedName name="모니터">#REF!</definedName>
    <definedName name="문자" localSheetId="1">#REF!</definedName>
    <definedName name="문자">#REF!</definedName>
    <definedName name="미디어" localSheetId="1">#REF!</definedName>
    <definedName name="미디어">#REF!</definedName>
    <definedName name="ㅂㅈㄷㅈㅂㄷ" localSheetId="1">#REF!</definedName>
    <definedName name="ㅂㅈㄷㅈㅂㄷ">#REF!</definedName>
    <definedName name="배수" localSheetId="1">#REF!</definedName>
    <definedName name="배수">#REF!</definedName>
    <definedName name="변경여부" localSheetId="1">#REF!</definedName>
    <definedName name="변경여부">#REF!</definedName>
    <definedName name="부대비용" localSheetId="1">[19]서울1!#REF!</definedName>
    <definedName name="부대비용">[19]서울1!#REF!</definedName>
    <definedName name="ㅅㄴ" localSheetId="1" hidden="1">{"'Sheet1'!$A$1:$J$57","'Sheet1'!$F$32:$F$35","'Sheet1'!$F$32:$F$36"}</definedName>
    <definedName name="ㅅㄴ" hidden="1">{"'Sheet1'!$A$1:$J$57","'Sheet1'!$F$32:$F$35","'Sheet1'!$F$32:$F$36"}</definedName>
    <definedName name="상호작용" localSheetId="1">#REF!</definedName>
    <definedName name="상호작용">#REF!</definedName>
    <definedName name="속성유형" localSheetId="1">#REF!</definedName>
    <definedName name="속성유형">#REF!</definedName>
    <definedName name="ㅇ" localSheetId="1">#REF!</definedName>
    <definedName name="ㅇ">#REF!</definedName>
    <definedName name="ㅇㅇㅇ">[20]밧데리!$B$2:$C$24</definedName>
    <definedName name="애니" localSheetId="1">#REF!</definedName>
    <definedName name="애니">#REF!</definedName>
    <definedName name="업무협력비" localSheetId="1" hidden="1">[18]합천내역!#REF!</definedName>
    <definedName name="업무협력비" hidden="1">[18]합천내역!#REF!</definedName>
    <definedName name="원가" localSheetId="1">#REF!</definedName>
    <definedName name="원가">#REF!</definedName>
    <definedName name="원가환율" localSheetId="1">[19]서울1!#REF!</definedName>
    <definedName name="원가환율">[19]서울1!#REF!</definedName>
    <definedName name="음성" localSheetId="1">#REF!</definedName>
    <definedName name="음성">#REF!</definedName>
    <definedName name="음악" localSheetId="1">#REF!</definedName>
    <definedName name="음악">#REF!</definedName>
    <definedName name="이미지" localSheetId="1">#REF!</definedName>
    <definedName name="이미지">#REF!</definedName>
    <definedName name="이익" localSheetId="1">[19]서울1!#REF!</definedName>
    <definedName name="이익">[19]서울1!#REF!</definedName>
    <definedName name="ㅈㄷㅂ" localSheetId="1">#REF!</definedName>
    <definedName name="ㅈㄷㅂ">#REF!</definedName>
    <definedName name="정류기">[21]정류기!$B$2:$C$32</definedName>
    <definedName name="중분류" localSheetId="1">#REF!</definedName>
    <definedName name="중분류">#REF!</definedName>
    <definedName name="总价12" localSheetId="1" hidden="1">{"'Sheet1'!$A$1:$J$57","'Sheet1'!$F$32:$F$35","'Sheet1'!$F$32:$F$36"}</definedName>
    <definedName name="总价12" hidden="1">{"'Sheet1'!$A$1:$J$57","'Sheet1'!$F$32:$F$35","'Sheet1'!$F$32:$F$36"}</definedName>
    <definedName name="추가변경여부" localSheetId="1">#REF!</definedName>
    <definedName name="추가변경여부">#REF!</definedName>
    <definedName name="출" localSheetId="1" hidden="1">[1]합천내역!#REF!</definedName>
    <definedName name="출" hidden="1">[1]합천내역!#REF!</definedName>
    <definedName name="카드관리부서" localSheetId="1">#REF!</definedName>
    <definedName name="카드관리부서">#REF!</definedName>
    <definedName name="카드캐피탈구분" localSheetId="1">#REF!</definedName>
    <definedName name="카드캐피탈구분">#REF!</definedName>
    <definedName name="캐피탈관리부서" localSheetId="1">#REF!</definedName>
    <definedName name="캐피탈관리부서">#REF!</definedName>
    <definedName name="커뮤니티" localSheetId="1">#REF!</definedName>
    <definedName name="커뮤니티">#REF!</definedName>
    <definedName name="통관비" localSheetId="1">[19]서울1!#REF!</definedName>
    <definedName name="통관비">[19]서울1!#REF!</definedName>
    <definedName name="패턴화면" localSheetId="1">#REF!</definedName>
    <definedName name="패턴화면">#REF!</definedName>
    <definedName name="평균검색" localSheetId="1">#REF!</definedName>
    <definedName name="평균검색">#REF!</definedName>
    <definedName name="포탈" localSheetId="1">#REF!</definedName>
    <definedName name="포탈">#REF!</definedName>
    <definedName name="프린터" localSheetId="1">#REF!</definedName>
    <definedName name="프린터">#REF!</definedName>
    <definedName name="필드" localSheetId="1">#REF!</definedName>
    <definedName name="필드">#REF!</definedName>
    <definedName name="할인" localSheetId="1">#REF!</definedName>
    <definedName name="할인">#REF!</definedName>
    <definedName name="항인" localSheetId="1">#REF!</definedName>
    <definedName name="항인">#REF!</definedName>
    <definedName name="환" localSheetId="1">#REF!</definedName>
    <definedName name="환">#REF!</definedName>
    <definedName name="환율" localSheetId="1">[19]서울1!#REF!</definedName>
    <definedName name="환율">[19]서울1!#REF!</definedName>
    <definedName name="휴일" localSheetId="1">[22]기초설정!$F$12:$M$28</definedName>
    <definedName name="휴일">[22]기초설정!$F$12:$M$28</definedName>
    <definedName name="ㅗ50" localSheetId="1">[23]연습!#REF!</definedName>
    <definedName name="ㅗ50">[23]연습!#REF!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5" i="2" l="1"/>
  <c r="H6" i="2"/>
  <c r="D6" i="2"/>
  <c r="B2" i="4" l="1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5" i="3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5" i="4"/>
  <c r="I2" i="4"/>
  <c r="J2" i="3"/>
  <c r="B2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김혜영</author>
  </authors>
  <commentList>
    <comment ref="C5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이슈</t>
        </r>
        <r>
          <rPr>
            <b/>
            <sz val="9"/>
            <color indexed="81"/>
            <rFont val="Tahoma"/>
            <family val="2"/>
          </rPr>
          <t>Title</t>
        </r>
        <r>
          <rPr>
            <b/>
            <sz val="9"/>
            <color indexed="81"/>
            <rFont val="돋움"/>
            <family val="3"/>
            <charset val="129"/>
          </rPr>
          <t>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첫줄에</t>
        </r>
        <r>
          <rPr>
            <b/>
            <sz val="9"/>
            <color indexed="81"/>
            <rFont val="Tahoma"/>
            <family val="2"/>
          </rPr>
          <t xml:space="preserve"> bold</t>
        </r>
        <r>
          <rPr>
            <b/>
            <sz val="9"/>
            <color indexed="81"/>
            <rFont val="돋움"/>
            <family val="3"/>
            <charset val="129"/>
          </rPr>
          <t>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표기
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범위의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이슈인지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일정이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이슈인지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자원이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이슈인지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문구를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명확히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표현</t>
        </r>
        <r>
          <rPr>
            <b/>
            <sz val="9"/>
            <color indexed="81"/>
            <rFont val="Tahoma"/>
            <family val="2"/>
          </rPr>
          <t xml:space="preserve">)
</t>
        </r>
      </text>
    </comment>
    <comment ref="F5" authorId="0" shapeId="0" xr:uid="{00000000-0006-0000-0300-000002000000}">
      <text>
        <r>
          <rPr>
            <sz val="9"/>
            <color indexed="81"/>
            <rFont val="Tahoma"/>
            <family val="2"/>
          </rPr>
          <t>RFP/</t>
        </r>
        <r>
          <rPr>
            <sz val="9"/>
            <color indexed="81"/>
            <rFont val="돋움"/>
            <family val="3"/>
            <charset val="129"/>
          </rPr>
          <t>회의록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또는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개발이슈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발생한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 Issue.</t>
        </r>
      </text>
    </comment>
  </commentList>
</comments>
</file>

<file path=xl/sharedStrings.xml><?xml version="1.0" encoding="utf-8"?>
<sst xmlns="http://schemas.openxmlformats.org/spreadsheetml/2006/main" count="89" uniqueCount="73">
  <si>
    <t>프로젝트</t>
    <phoneticPr fontId="5" type="noConversion"/>
  </si>
  <si>
    <t>기     간</t>
    <phoneticPr fontId="5" type="noConversion"/>
  </si>
  <si>
    <t>진행중 Issue</t>
    <phoneticPr fontId="2" type="noConversion"/>
  </si>
  <si>
    <t>금 주  실 적</t>
    <phoneticPr fontId="5" type="noConversion"/>
  </si>
  <si>
    <t>차 주  계 획</t>
    <phoneticPr fontId="5" type="noConversion"/>
  </si>
  <si>
    <t>프로젝트 
관리</t>
    <phoneticPr fontId="5" type="noConversion"/>
  </si>
  <si>
    <t>분석/
설계</t>
    <phoneticPr fontId="5" type="noConversion"/>
  </si>
  <si>
    <t>구현</t>
    <phoneticPr fontId="5" type="noConversion"/>
  </si>
  <si>
    <t>안정화</t>
    <phoneticPr fontId="5" type="noConversion"/>
  </si>
  <si>
    <t>기타</t>
    <phoneticPr fontId="5" type="noConversion"/>
  </si>
  <si>
    <t>비고</t>
    <phoneticPr fontId="5" type="noConversion"/>
  </si>
  <si>
    <t>Risk 관리</t>
    <phoneticPr fontId="14" type="noConversion"/>
  </si>
  <si>
    <t>No</t>
    <phoneticPr fontId="5" type="noConversion"/>
  </si>
  <si>
    <t>이슈내용</t>
    <phoneticPr fontId="5" type="noConversion"/>
  </si>
  <si>
    <t>대상 모듈</t>
    <phoneticPr fontId="14" type="noConversion"/>
  </si>
  <si>
    <t>발생일자</t>
    <phoneticPr fontId="5" type="noConversion"/>
  </si>
  <si>
    <t>출처</t>
    <phoneticPr fontId="14" type="noConversion"/>
  </si>
  <si>
    <t>해결방안</t>
    <phoneticPr fontId="5" type="noConversion"/>
  </si>
  <si>
    <t>진행 상태</t>
    <phoneticPr fontId="5" type="noConversion"/>
  </si>
  <si>
    <t>완료여부</t>
    <phoneticPr fontId="5" type="noConversion"/>
  </si>
  <si>
    <t>완료일</t>
    <phoneticPr fontId="5" type="noConversion"/>
  </si>
  <si>
    <t>비고</t>
    <phoneticPr fontId="5" type="noConversion"/>
  </si>
  <si>
    <t>이슈관리</t>
    <phoneticPr fontId="2" type="noConversion"/>
  </si>
  <si>
    <t>No</t>
    <phoneticPr fontId="5" type="noConversion"/>
  </si>
  <si>
    <t>이슈내용</t>
    <phoneticPr fontId="5" type="noConversion"/>
  </si>
  <si>
    <t>발생일자</t>
    <phoneticPr fontId="5" type="noConversion"/>
  </si>
  <si>
    <t>해결방안</t>
    <phoneticPr fontId="5" type="noConversion"/>
  </si>
  <si>
    <t>진행 상태</t>
    <phoneticPr fontId="5" type="noConversion"/>
  </si>
  <si>
    <t>완료여부</t>
    <phoneticPr fontId="5" type="noConversion"/>
  </si>
  <si>
    <t>완료일</t>
    <phoneticPr fontId="5" type="noConversion"/>
  </si>
  <si>
    <t>비고</t>
    <phoneticPr fontId="5" type="noConversion"/>
  </si>
  <si>
    <t>Activity</t>
    <phoneticPr fontId="5" type="noConversion"/>
  </si>
  <si>
    <t>담당자</t>
    <phoneticPr fontId="2" type="noConversion"/>
  </si>
  <si>
    <t>진행상태</t>
    <phoneticPr fontId="5" type="noConversion"/>
  </si>
  <si>
    <t>완료예정일</t>
    <phoneticPr fontId="5" type="noConversion"/>
  </si>
  <si>
    <t>실제/목표 진도율</t>
    <phoneticPr fontId="2" type="noConversion"/>
  </si>
  <si>
    <t>진행중 Activity</t>
    <phoneticPr fontId="2" type="noConversion"/>
  </si>
  <si>
    <t>Activity 관리</t>
    <phoneticPr fontId="14" type="noConversion"/>
  </si>
  <si>
    <t>작성자</t>
    <phoneticPr fontId="14" type="noConversion"/>
  </si>
  <si>
    <t>작성일자</t>
    <phoneticPr fontId="2" type="noConversion"/>
  </si>
  <si>
    <t>Activity ID</t>
    <phoneticPr fontId="5" type="noConversion"/>
  </si>
  <si>
    <t>배포/이행</t>
    <phoneticPr fontId="5" type="noConversion"/>
  </si>
  <si>
    <t>- 전자결재 PDF 내보내기시 PDF에 첨부파일 넣기</t>
    <phoneticPr fontId="2" type="noConversion"/>
  </si>
  <si>
    <t>- 상용모듈 구매 후 추가 개발</t>
    <phoneticPr fontId="2" type="noConversion"/>
  </si>
  <si>
    <t>HAN-ACT-001</t>
    <phoneticPr fontId="2" type="noConversion"/>
  </si>
  <si>
    <t>한만영</t>
    <phoneticPr fontId="2" type="noConversion"/>
  </si>
  <si>
    <t>- License 수량 이슈</t>
    <phoneticPr fontId="2" type="noConversion"/>
  </si>
  <si>
    <t>- 계약된 License 수와 주관사에서 인지하고 있는 라이선스 수량에 차이 발생</t>
    <phoneticPr fontId="2" type="noConversion"/>
  </si>
  <si>
    <t>HAN-ACT-002</t>
  </si>
  <si>
    <t>전자결재 연동문서 마이그레이션 I/F 관련 영림원 가이드 제공</t>
    <phoneticPr fontId="2" type="noConversion"/>
  </si>
  <si>
    <t>디자인 템플릿 선정을 요청한지 2주가 되어가도록 선정되지 않고 있음</t>
    <phoneticPr fontId="2" type="noConversion"/>
  </si>
  <si>
    <t>진행중 Risk</t>
    <phoneticPr fontId="2" type="noConversion"/>
  </si>
  <si>
    <t>메인, 로그인 디자인 템플릿 선정</t>
    <phoneticPr fontId="2" type="noConversion"/>
  </si>
  <si>
    <t>전자결재 제목 자동완성 의사결정</t>
  </si>
  <si>
    <t>PC반출입등 양식 통합에 대한 의사결정</t>
  </si>
  <si>
    <t>중간보고 방안 및 일정 결정</t>
  </si>
  <si>
    <t>포탈 디자인 콘텐츠에 대한 의견 제시</t>
  </si>
  <si>
    <t>HAN-ACT-003</t>
  </si>
  <si>
    <t>HAN-ACT-004</t>
  </si>
  <si>
    <t>HAN-ACT-005</t>
  </si>
  <si>
    <t>HAN-ACT-006</t>
  </si>
  <si>
    <t>정용현</t>
    <phoneticPr fontId="2" type="noConversion"/>
  </si>
  <si>
    <t>완료</t>
  </si>
  <si>
    <t>영림원 ERP 연동을 위한 I/F 정보 제공이 지연되고 있음</t>
    <phoneticPr fontId="2" type="noConversion"/>
  </si>
  <si>
    <t>70.27% / 78.36%</t>
    <phoneticPr fontId="2" type="noConversion"/>
  </si>
  <si>
    <r>
      <t xml:space="preserve">1. 포탈/그룹웨어
</t>
    </r>
    <r>
      <rPr>
        <sz val="9"/>
        <rFont val="맑은 고딕"/>
        <family val="3"/>
        <charset val="129"/>
        <scheme val="minor"/>
      </rPr>
      <t xml:space="preserve">  - Web Part 개발
    · 전사공지, 최근게시, 일정관리, 자원예약, Link Service, 결재정보, 메일정보, 식단표, 경조사, Quick Menu, Live Poll, 복합기 SLO, 개인문서함 메인
</t>
    </r>
    <r>
      <rPr>
        <b/>
        <sz val="9"/>
        <rFont val="맑은 고딕"/>
        <family val="3"/>
        <charset val="129"/>
        <scheme val="minor"/>
      </rPr>
      <t xml:space="preserve">  
2. 전자결재
</t>
    </r>
    <r>
      <rPr>
        <sz val="9"/>
        <rFont val="맑은 고딕"/>
        <family val="3"/>
        <charset val="129"/>
        <scheme val="minor"/>
      </rPr>
      <t xml:space="preserve">  - 연동양식 개발 완료
  - Migration Tools 개발
</t>
    </r>
    <r>
      <rPr>
        <b/>
        <sz val="9"/>
        <rFont val="맑은 고딕"/>
        <family val="3"/>
        <charset val="129"/>
        <scheme val="minor"/>
      </rPr>
      <t xml:space="preserve">
3. 테스트
</t>
    </r>
    <r>
      <rPr>
        <sz val="9"/>
        <rFont val="맑은 고딕"/>
        <family val="3"/>
        <charset val="129"/>
        <scheme val="minor"/>
      </rPr>
      <t xml:space="preserve">  - 전체 모듈에 대하여 단위 테스트 시행</t>
    </r>
    <phoneticPr fontId="2" type="noConversion"/>
  </si>
  <si>
    <t>1. 고객 통합테스트 지원
  - 1차(2/24 ~ 2/28) 동양네트웍스</t>
    <phoneticPr fontId="2" type="noConversion"/>
  </si>
  <si>
    <t>1. 운영서버 Application 설치 및 셋팅</t>
    <phoneticPr fontId="2" type="noConversion"/>
  </si>
  <si>
    <t>2020.02.17 ~ 2020.02.21</t>
    <phoneticPr fontId="2" type="noConversion"/>
  </si>
  <si>
    <t>- 메일 보내기(본문은 PDF로 첨부, 첨부파일은 첨부로)로 구두 협의</t>
    <phoneticPr fontId="2" type="noConversion"/>
  </si>
  <si>
    <t>XX주차 주간보고</t>
    <phoneticPr fontId="2" type="noConversion"/>
  </si>
  <si>
    <t xml:space="preserve"> 프로젝트명 기입</t>
    <phoneticPr fontId="2" type="noConversion"/>
  </si>
  <si>
    <t>이름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</si>
</sst>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m&quot;월&quot;\ dd&quot;일&quot;"/>
    <numFmt numFmtId="178" formatCode="#,##0_ "/>
  </numFmts>
  <fonts count="3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9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9"/>
      <color theme="1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b/>
      <sz val="11"/>
      <name val="맑은 고딕"/>
      <family val="3"/>
      <charset val="129"/>
      <scheme val="major"/>
    </font>
    <font>
      <sz val="8"/>
      <name val="돋움"/>
      <family val="3"/>
      <charset val="129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ajor"/>
    </font>
    <font>
      <b/>
      <sz val="11"/>
      <color indexed="8"/>
      <name val="맑은 고딕"/>
      <family val="3"/>
      <charset val="129"/>
      <scheme val="major"/>
    </font>
    <font>
      <b/>
      <sz val="16"/>
      <color theme="1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ajor"/>
    </font>
    <font>
      <u/>
      <sz val="11"/>
      <color theme="10"/>
      <name val="맑은 고딕"/>
      <family val="2"/>
      <charset val="129"/>
      <scheme val="minor"/>
    </font>
    <font>
      <b/>
      <sz val="9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rgb="FF969696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/>
      <top style="thin">
        <color indexed="64"/>
      </top>
      <bottom style="double">
        <color indexed="64"/>
      </bottom>
      <diagonal/>
    </border>
    <border>
      <left/>
      <right style="thin">
        <color auto="1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</borders>
  <cellStyleXfs count="8">
    <xf numFmtId="0" fontId="0" fillId="0" borderId="0">
      <alignment vertical="center"/>
    </xf>
    <xf numFmtId="0" fontId="1" fillId="0" borderId="0"/>
    <xf numFmtId="0" fontId="3" fillId="0" borderId="0"/>
    <xf numFmtId="0" fontId="3" fillId="0" borderId="0">
      <alignment vertical="center"/>
    </xf>
    <xf numFmtId="0" fontId="1" fillId="0" borderId="0"/>
    <xf numFmtId="0" fontId="1" fillId="0" borderId="0">
      <alignment vertical="center"/>
    </xf>
    <xf numFmtId="0" fontId="3" fillId="0" borderId="0"/>
    <xf numFmtId="0" fontId="28" fillId="0" borderId="0" applyNumberFormat="0" applyFill="0" applyBorder="0" applyAlignment="0" applyProtection="0">
      <alignment vertical="center"/>
    </xf>
  </cellStyleXfs>
  <cellXfs count="91">
    <xf numFmtId="0" fontId="0" fillId="0" borderId="0" xfId="0">
      <alignment vertical="center"/>
    </xf>
    <xf numFmtId="0" fontId="6" fillId="2" borderId="1" xfId="1" applyNumberFormat="1" applyFont="1" applyFill="1" applyBorder="1" applyAlignment="1" applyProtection="1">
      <alignment vertical="center"/>
    </xf>
    <xf numFmtId="0" fontId="6" fillId="3" borderId="1" xfId="1" applyFont="1" applyFill="1" applyBorder="1" applyAlignment="1" applyProtection="1">
      <alignment horizontal="center" vertical="center" wrapText="1"/>
      <protection locked="0"/>
    </xf>
    <xf numFmtId="0" fontId="6" fillId="3" borderId="1" xfId="1" applyFont="1" applyFill="1" applyBorder="1" applyAlignment="1" applyProtection="1">
      <alignment horizontal="center" vertical="center"/>
      <protection locked="0"/>
    </xf>
    <xf numFmtId="0" fontId="11" fillId="0" borderId="0" xfId="3" applyFont="1" applyProtection="1">
      <alignment vertical="center"/>
      <protection locked="0"/>
    </xf>
    <xf numFmtId="0" fontId="11" fillId="0" borderId="0" xfId="3" applyFont="1" applyProtection="1">
      <alignment vertical="center"/>
    </xf>
    <xf numFmtId="0" fontId="6" fillId="0" borderId="1" xfId="1" applyFont="1" applyBorder="1" applyAlignment="1" applyProtection="1">
      <alignment horizontal="center" vertical="center"/>
      <protection locked="0"/>
    </xf>
    <xf numFmtId="0" fontId="10" fillId="0" borderId="1" xfId="1" applyFont="1" applyBorder="1" applyAlignment="1" applyProtection="1">
      <alignment vertical="top" wrapText="1"/>
      <protection locked="0"/>
    </xf>
    <xf numFmtId="0" fontId="6" fillId="0" borderId="1" xfId="1" applyFont="1" applyBorder="1" applyAlignment="1" applyProtection="1">
      <alignment vertical="center" wrapText="1"/>
      <protection locked="0"/>
    </xf>
    <xf numFmtId="14" fontId="6" fillId="0" borderId="1" xfId="1" applyNumberFormat="1" applyFont="1" applyBorder="1" applyAlignment="1" applyProtection="1">
      <alignment horizontal="center" vertical="center"/>
      <protection locked="0"/>
    </xf>
    <xf numFmtId="0" fontId="6" fillId="0" borderId="1" xfId="1" applyFont="1" applyBorder="1" applyAlignment="1" applyProtection="1">
      <alignment vertical="top" wrapText="1"/>
      <protection locked="0"/>
    </xf>
    <xf numFmtId="0" fontId="6" fillId="0" borderId="1" xfId="1" quotePrefix="1" applyFont="1" applyBorder="1" applyProtection="1">
      <protection locked="0"/>
    </xf>
    <xf numFmtId="0" fontId="11" fillId="0" borderId="0" xfId="3" applyFont="1" applyAlignment="1" applyProtection="1">
      <alignment horizontal="center" vertical="center"/>
      <protection locked="0"/>
    </xf>
    <xf numFmtId="0" fontId="10" fillId="0" borderId="0" xfId="1" applyFont="1" applyProtection="1">
      <protection locked="0"/>
    </xf>
    <xf numFmtId="0" fontId="10" fillId="0" borderId="0" xfId="1" applyFont="1" applyProtection="1"/>
    <xf numFmtId="0" fontId="20" fillId="4" borderId="1" xfId="3" applyFont="1" applyFill="1" applyBorder="1" applyAlignment="1" applyProtection="1">
      <alignment horizontal="center" vertical="center"/>
    </xf>
    <xf numFmtId="14" fontId="4" fillId="0" borderId="1" xfId="1" applyNumberFormat="1" applyFont="1" applyBorder="1" applyAlignment="1" applyProtection="1">
      <alignment horizontal="center" vertical="center" wrapText="1"/>
      <protection locked="0"/>
    </xf>
    <xf numFmtId="0" fontId="4" fillId="0" borderId="1" xfId="3" applyFont="1" applyBorder="1" applyAlignment="1" applyProtection="1">
      <alignment horizontal="center" vertical="center"/>
      <protection locked="0"/>
    </xf>
    <xf numFmtId="0" fontId="21" fillId="5" borderId="1" xfId="4" applyFont="1" applyFill="1" applyBorder="1" applyAlignment="1" applyProtection="1">
      <alignment horizontal="center" vertical="center"/>
      <protection locked="0"/>
    </xf>
    <xf numFmtId="0" fontId="6" fillId="0" borderId="1" xfId="1" applyNumberFormat="1" applyFont="1" applyBorder="1" applyAlignment="1" applyProtection="1">
      <alignment horizontal="center" vertical="center"/>
      <protection locked="0"/>
    </xf>
    <xf numFmtId="0" fontId="19" fillId="6" borderId="1" xfId="1" applyFont="1" applyFill="1" applyBorder="1" applyAlignment="1" applyProtection="1">
      <alignment horizontal="center" vertical="center"/>
      <protection locked="0"/>
    </xf>
    <xf numFmtId="0" fontId="19" fillId="6" borderId="1" xfId="1" applyFont="1" applyFill="1" applyBorder="1" applyAlignment="1" applyProtection="1">
      <alignment horizontal="center" vertical="center"/>
    </xf>
    <xf numFmtId="0" fontId="21" fillId="5" borderId="1" xfId="4" applyFont="1" applyFill="1" applyBorder="1" applyAlignment="1" applyProtection="1">
      <alignment horizontal="center" vertical="center" wrapText="1"/>
      <protection locked="0"/>
    </xf>
    <xf numFmtId="0" fontId="4" fillId="8" borderId="1" xfId="2" applyFont="1" applyFill="1" applyBorder="1" applyAlignment="1" applyProtection="1">
      <alignment horizontal="center" vertical="center" wrapText="1"/>
    </xf>
    <xf numFmtId="0" fontId="6" fillId="8" borderId="1" xfId="1" applyFont="1" applyFill="1" applyBorder="1" applyAlignment="1" applyProtection="1">
      <alignment horizontal="center"/>
    </xf>
    <xf numFmtId="0" fontId="7" fillId="8" borderId="1" xfId="1" applyFont="1" applyFill="1" applyBorder="1" applyAlignment="1" applyProtection="1">
      <alignment horizontal="center"/>
    </xf>
    <xf numFmtId="0" fontId="6" fillId="0" borderId="1" xfId="1" applyFont="1" applyBorder="1" applyAlignment="1" applyProtection="1">
      <alignment horizontal="center" vertical="center" wrapText="1"/>
      <protection locked="0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14" fontId="6" fillId="0" borderId="1" xfId="1" applyNumberFormat="1" applyFont="1" applyBorder="1" applyAlignment="1" applyProtection="1">
      <alignment horizontal="center" vertical="center" wrapText="1"/>
      <protection locked="0"/>
    </xf>
    <xf numFmtId="0" fontId="6" fillId="0" borderId="1" xfId="1" applyNumberFormat="1" applyFont="1" applyBorder="1" applyAlignment="1" applyProtection="1">
      <alignment horizontal="center" vertical="center" wrapText="1"/>
      <protection locked="0"/>
    </xf>
    <xf numFmtId="178" fontId="6" fillId="2" borderId="1" xfId="1" applyNumberFormat="1" applyFont="1" applyFill="1" applyBorder="1" applyAlignment="1" applyProtection="1">
      <alignment horizontal="left" vertical="center"/>
    </xf>
    <xf numFmtId="0" fontId="6" fillId="0" borderId="1" xfId="1" quotePrefix="1" applyFont="1" applyBorder="1" applyAlignment="1" applyProtection="1">
      <alignment vertical="top" wrapText="1"/>
      <protection locked="0"/>
    </xf>
    <xf numFmtId="49" fontId="6" fillId="7" borderId="0" xfId="0" applyNumberFormat="1" applyFont="1" applyFill="1" applyAlignment="1">
      <alignment vertical="center" wrapText="1"/>
    </xf>
    <xf numFmtId="0" fontId="27" fillId="10" borderId="1" xfId="4" applyFont="1" applyFill="1" applyBorder="1" applyAlignment="1" applyProtection="1">
      <alignment horizontal="center" vertical="center"/>
      <protection locked="0"/>
    </xf>
    <xf numFmtId="0" fontId="6" fillId="0" borderId="1" xfId="1" quotePrefix="1" applyFont="1" applyBorder="1" applyAlignment="1" applyProtection="1">
      <alignment vertical="center" wrapText="1"/>
      <protection locked="0"/>
    </xf>
    <xf numFmtId="0" fontId="11" fillId="0" borderId="0" xfId="3" applyFont="1" applyAlignment="1" applyProtection="1">
      <alignment vertical="center"/>
      <protection locked="0"/>
    </xf>
    <xf numFmtId="0" fontId="11" fillId="0" borderId="0" xfId="3" applyFont="1" applyAlignment="1" applyProtection="1">
      <alignment horizontal="center" vertical="center"/>
      <protection locked="0"/>
    </xf>
    <xf numFmtId="0" fontId="6" fillId="3" borderId="5" xfId="1" applyFont="1" applyFill="1" applyBorder="1" applyAlignment="1" applyProtection="1">
      <alignment horizontal="center" vertical="center"/>
      <protection locked="0"/>
    </xf>
    <xf numFmtId="0" fontId="19" fillId="0" borderId="0" xfId="0" applyFont="1">
      <alignment vertical="center"/>
    </xf>
    <xf numFmtId="0" fontId="6" fillId="8" borderId="1" xfId="1" applyFont="1" applyFill="1" applyBorder="1" applyAlignment="1" applyProtection="1">
      <alignment horizontal="center" vertical="center"/>
    </xf>
    <xf numFmtId="176" fontId="4" fillId="0" borderId="2" xfId="1" applyNumberFormat="1" applyFont="1" applyFill="1" applyBorder="1" applyAlignment="1" applyProtection="1">
      <alignment horizontal="left" vertical="top" wrapText="1"/>
      <protection locked="0"/>
    </xf>
    <xf numFmtId="176" fontId="4" fillId="0" borderId="4" xfId="1" applyNumberFormat="1" applyFont="1" applyFill="1" applyBorder="1" applyAlignment="1" applyProtection="1">
      <alignment horizontal="left" vertical="top" wrapText="1"/>
      <protection locked="0"/>
    </xf>
    <xf numFmtId="0" fontId="22" fillId="0" borderId="6" xfId="0" applyFont="1" applyBorder="1" applyAlignment="1">
      <alignment horizontal="center" vertical="center"/>
    </xf>
    <xf numFmtId="176" fontId="4" fillId="0" borderId="3" xfId="1" applyNumberFormat="1" applyFont="1" applyFill="1" applyBorder="1" applyAlignment="1" applyProtection="1">
      <alignment horizontal="left" vertical="top" wrapText="1"/>
      <protection locked="0"/>
    </xf>
    <xf numFmtId="0" fontId="4" fillId="0" borderId="2" xfId="1" applyFont="1" applyFill="1" applyBorder="1" applyAlignment="1" applyProtection="1">
      <alignment horizontal="left" vertical="top" wrapText="1"/>
      <protection locked="0"/>
    </xf>
    <xf numFmtId="0" fontId="4" fillId="0" borderId="4" xfId="1" applyFont="1" applyFill="1" applyBorder="1" applyAlignment="1" applyProtection="1">
      <alignment horizontal="left" vertical="top" wrapText="1"/>
      <protection locked="0"/>
    </xf>
    <xf numFmtId="0" fontId="4" fillId="8" borderId="1" xfId="2" applyFont="1" applyFill="1" applyBorder="1" applyAlignment="1" applyProtection="1">
      <alignment horizontal="center" vertical="center" wrapText="1"/>
      <protection locked="0"/>
    </xf>
    <xf numFmtId="0" fontId="4" fillId="2" borderId="1" xfId="2" applyNumberFormat="1" applyFont="1" applyFill="1" applyBorder="1" applyAlignment="1" applyProtection="1">
      <alignment horizontal="left" vertical="center" wrapText="1"/>
    </xf>
    <xf numFmtId="49" fontId="6" fillId="2" borderId="1" xfId="1" applyNumberFormat="1" applyFont="1" applyFill="1" applyBorder="1" applyAlignment="1" applyProtection="1">
      <alignment horizontal="left" vertical="center"/>
    </xf>
    <xf numFmtId="0" fontId="6" fillId="2" borderId="2" xfId="1" applyNumberFormat="1" applyFont="1" applyFill="1" applyBorder="1" applyAlignment="1" applyProtection="1">
      <alignment horizontal="left" vertical="center"/>
    </xf>
    <xf numFmtId="0" fontId="6" fillId="2" borderId="3" xfId="1" applyNumberFormat="1" applyFont="1" applyFill="1" applyBorder="1" applyAlignment="1" applyProtection="1">
      <alignment horizontal="left" vertical="center"/>
    </xf>
    <xf numFmtId="0" fontId="6" fillId="2" borderId="4" xfId="1" applyNumberFormat="1" applyFont="1" applyFill="1" applyBorder="1" applyAlignment="1" applyProtection="1">
      <alignment horizontal="left" vertical="center"/>
    </xf>
    <xf numFmtId="0" fontId="6" fillId="8" borderId="1" xfId="1" applyFont="1" applyFill="1" applyBorder="1" applyAlignment="1" applyProtection="1">
      <alignment horizontal="center"/>
    </xf>
    <xf numFmtId="176" fontId="4" fillId="0" borderId="1" xfId="1" applyNumberFormat="1" applyFont="1" applyFill="1" applyBorder="1" applyAlignment="1" applyProtection="1">
      <alignment horizontal="left" vertical="top" wrapText="1"/>
      <protection locked="0"/>
    </xf>
    <xf numFmtId="0" fontId="4" fillId="0" borderId="3" xfId="1" applyFont="1" applyFill="1" applyBorder="1" applyAlignment="1" applyProtection="1">
      <alignment horizontal="left" vertical="top" wrapText="1"/>
      <protection locked="0"/>
    </xf>
    <xf numFmtId="0" fontId="4" fillId="0" borderId="2" xfId="1" quotePrefix="1" applyFont="1" applyFill="1" applyBorder="1" applyAlignment="1" applyProtection="1">
      <alignment horizontal="left" vertical="top" wrapText="1"/>
      <protection locked="0"/>
    </xf>
    <xf numFmtId="0" fontId="4" fillId="0" borderId="4" xfId="1" quotePrefix="1" applyFont="1" applyFill="1" applyBorder="1" applyAlignment="1" applyProtection="1">
      <alignment horizontal="left" vertical="top" wrapText="1"/>
      <protection locked="0"/>
    </xf>
    <xf numFmtId="176" fontId="9" fillId="6" borderId="2" xfId="1" quotePrefix="1" applyNumberFormat="1" applyFont="1" applyFill="1" applyBorder="1" applyAlignment="1" applyProtection="1">
      <alignment horizontal="left" vertical="top" wrapText="1"/>
      <protection locked="0"/>
    </xf>
    <xf numFmtId="176" fontId="9" fillId="6" borderId="3" xfId="1" quotePrefix="1" applyNumberFormat="1" applyFont="1" applyFill="1" applyBorder="1" applyAlignment="1" applyProtection="1">
      <alignment horizontal="left" vertical="top" wrapText="1"/>
      <protection locked="0"/>
    </xf>
    <xf numFmtId="176" fontId="29" fillId="0" borderId="2" xfId="1" applyNumberFormat="1" applyFont="1" applyFill="1" applyBorder="1" applyAlignment="1" applyProtection="1">
      <alignment horizontal="left" vertical="top" wrapText="1"/>
      <protection locked="0"/>
    </xf>
    <xf numFmtId="0" fontId="8" fillId="0" borderId="2" xfId="1" quotePrefix="1" applyFont="1" applyFill="1" applyBorder="1" applyAlignment="1" applyProtection="1">
      <alignment horizontal="left" vertical="top" wrapText="1"/>
      <protection locked="0"/>
    </xf>
    <xf numFmtId="0" fontId="8" fillId="0" borderId="4" xfId="1" quotePrefix="1" applyFont="1" applyFill="1" applyBorder="1" applyAlignment="1" applyProtection="1">
      <alignment horizontal="left" vertical="top" wrapText="1"/>
      <protection locked="0"/>
    </xf>
    <xf numFmtId="176" fontId="8" fillId="0" borderId="2" xfId="1" quotePrefix="1" applyNumberFormat="1" applyFont="1" applyFill="1" applyBorder="1" applyAlignment="1" applyProtection="1">
      <alignment horizontal="left" vertical="top" wrapText="1"/>
      <protection locked="0"/>
    </xf>
    <xf numFmtId="176" fontId="8" fillId="0" borderId="3" xfId="1" applyNumberFormat="1" applyFont="1" applyFill="1" applyBorder="1" applyAlignment="1" applyProtection="1">
      <alignment horizontal="left" vertical="top" wrapText="1"/>
      <protection locked="0"/>
    </xf>
    <xf numFmtId="176" fontId="8" fillId="0" borderId="4" xfId="1" applyNumberFormat="1" applyFont="1" applyFill="1" applyBorder="1" applyAlignment="1" applyProtection="1">
      <alignment horizontal="left" vertical="top" wrapText="1"/>
      <protection locked="0"/>
    </xf>
    <xf numFmtId="0" fontId="6" fillId="0" borderId="5" xfId="7" quotePrefix="1" applyFont="1" applyFill="1" applyBorder="1" applyAlignment="1" applyProtection="1">
      <alignment horizontal="left" vertical="top" wrapText="1"/>
      <protection locked="0"/>
    </xf>
    <xf numFmtId="0" fontId="6" fillId="0" borderId="5" xfId="7" applyFont="1" applyFill="1" applyBorder="1" applyAlignment="1" applyProtection="1">
      <alignment horizontal="left" vertical="top"/>
      <protection locked="0"/>
    </xf>
    <xf numFmtId="176" fontId="9" fillId="0" borderId="2" xfId="1" quotePrefix="1" applyNumberFormat="1" applyFont="1" applyFill="1" applyBorder="1" applyAlignment="1" applyProtection="1">
      <alignment horizontal="left" vertical="top" wrapText="1"/>
      <protection locked="0"/>
    </xf>
    <xf numFmtId="176" fontId="4" fillId="0" borderId="3" xfId="1" quotePrefix="1" applyNumberFormat="1" applyFont="1" applyFill="1" applyBorder="1" applyAlignment="1" applyProtection="1">
      <alignment horizontal="left" vertical="top" wrapText="1"/>
      <protection locked="0"/>
    </xf>
    <xf numFmtId="176" fontId="4" fillId="0" borderId="4" xfId="1" quotePrefix="1" applyNumberFormat="1" applyFont="1" applyFill="1" applyBorder="1" applyAlignment="1" applyProtection="1">
      <alignment horizontal="left" vertical="top" wrapText="1"/>
      <protection locked="0"/>
    </xf>
    <xf numFmtId="0" fontId="24" fillId="9" borderId="7" xfId="0" applyFont="1" applyFill="1" applyBorder="1" applyAlignment="1">
      <alignment horizontal="center" vertical="center"/>
    </xf>
    <xf numFmtId="0" fontId="25" fillId="0" borderId="8" xfId="0" applyFont="1" applyBorder="1" applyAlignment="1"/>
    <xf numFmtId="0" fontId="25" fillId="0" borderId="9" xfId="0" applyFont="1" applyBorder="1" applyAlignment="1"/>
    <xf numFmtId="0" fontId="23" fillId="9" borderId="10" xfId="0" applyFont="1" applyFill="1" applyBorder="1" applyAlignment="1">
      <alignment horizontal="center" vertical="center"/>
    </xf>
    <xf numFmtId="0" fontId="23" fillId="0" borderId="11" xfId="0" applyFont="1" applyBorder="1" applyAlignment="1">
      <alignment horizontal="center"/>
    </xf>
    <xf numFmtId="14" fontId="26" fillId="7" borderId="12" xfId="0" applyNumberFormat="1" applyFont="1" applyFill="1" applyBorder="1" applyAlignment="1">
      <alignment horizontal="center" vertical="center" wrapText="1"/>
    </xf>
    <xf numFmtId="14" fontId="26" fillId="7" borderId="13" xfId="0" applyNumberFormat="1" applyFont="1" applyFill="1" applyBorder="1" applyAlignment="1">
      <alignment horizontal="center" vertical="center" wrapText="1"/>
    </xf>
    <xf numFmtId="49" fontId="26" fillId="10" borderId="2" xfId="0" applyNumberFormat="1" applyFont="1" applyFill="1" applyBorder="1" applyAlignment="1">
      <alignment horizontal="center" vertical="center" wrapText="1"/>
    </xf>
    <xf numFmtId="49" fontId="26" fillId="10" borderId="4" xfId="0" applyNumberFormat="1" applyFont="1" applyFill="1" applyBorder="1" applyAlignment="1">
      <alignment horizontal="center" vertical="center" wrapText="1"/>
    </xf>
    <xf numFmtId="14" fontId="26" fillId="7" borderId="14" xfId="0" applyNumberFormat="1" applyFont="1" applyFill="1" applyBorder="1" applyAlignment="1">
      <alignment horizontal="center" vertical="center" wrapText="1"/>
    </xf>
    <xf numFmtId="14" fontId="26" fillId="7" borderId="15" xfId="0" applyNumberFormat="1" applyFont="1" applyFill="1" applyBorder="1" applyAlignment="1">
      <alignment horizontal="center" vertical="center" wrapText="1"/>
    </xf>
    <xf numFmtId="0" fontId="11" fillId="0" borderId="0" xfId="3" applyFont="1" applyAlignment="1" applyProtection="1">
      <alignment horizontal="center" vertical="center"/>
      <protection locked="0"/>
    </xf>
    <xf numFmtId="0" fontId="12" fillId="4" borderId="1" xfId="3" applyFont="1" applyFill="1" applyBorder="1" applyAlignment="1" applyProtection="1">
      <alignment horizontal="left" vertical="center"/>
    </xf>
    <xf numFmtId="0" fontId="13" fillId="4" borderId="1" xfId="3" applyFont="1" applyFill="1" applyBorder="1" applyAlignment="1" applyProtection="1">
      <alignment horizontal="center" vertical="center"/>
    </xf>
    <xf numFmtId="0" fontId="12" fillId="4" borderId="1" xfId="3" applyFont="1" applyFill="1" applyBorder="1" applyAlignment="1" applyProtection="1">
      <alignment horizontal="center" vertical="center"/>
    </xf>
    <xf numFmtId="0" fontId="11" fillId="0" borderId="6" xfId="3" applyFont="1" applyBorder="1" applyAlignment="1" applyProtection="1">
      <alignment horizontal="center" vertical="center"/>
      <protection locked="0"/>
    </xf>
    <xf numFmtId="0" fontId="10" fillId="0" borderId="0" xfId="1" applyFont="1" applyAlignment="1" applyProtection="1">
      <alignment horizontal="center"/>
      <protection locked="0"/>
    </xf>
    <xf numFmtId="0" fontId="10" fillId="4" borderId="1" xfId="1" applyFont="1" applyFill="1" applyBorder="1" applyAlignment="1" applyProtection="1">
      <alignment horizontal="left"/>
    </xf>
    <xf numFmtId="0" fontId="19" fillId="4" borderId="1" xfId="1" applyFont="1" applyFill="1" applyBorder="1" applyAlignment="1" applyProtection="1">
      <alignment horizontal="center"/>
    </xf>
    <xf numFmtId="0" fontId="10" fillId="0" borderId="6" xfId="1" applyFont="1" applyBorder="1" applyAlignment="1" applyProtection="1">
      <alignment horizontal="center"/>
      <protection locked="0"/>
    </xf>
  </cellXfs>
  <cellStyles count="8">
    <cellStyle name="표준" xfId="0" builtinId="0"/>
    <cellStyle name="표준 2" xfId="2" xr:uid="{00000000-0005-0000-0000-000001000000}"/>
    <cellStyle name="표준 2 2" xfId="5" xr:uid="{00000000-0005-0000-0000-000002000000}"/>
    <cellStyle name="표준 2 2 2" xfId="6" xr:uid="{0F368418-ED53-40A1-9546-BEF9CB40316C}"/>
    <cellStyle name="표준 2 4" xfId="3" xr:uid="{00000000-0005-0000-0000-000003000000}"/>
    <cellStyle name="표준 3" xfId="1" xr:uid="{00000000-0005-0000-0000-000004000000}"/>
    <cellStyle name="표준 4 3" xfId="4" xr:uid="{00000000-0005-0000-0000-000005000000}"/>
    <cellStyle name="하이퍼링크" xfId="7" builtinId="8"/>
  </cellStyles>
  <dxfs count="2">
    <dxf>
      <font>
        <b val="0"/>
        <i val="0"/>
        <strike val="0"/>
      </font>
      <fill>
        <patternFill patternType="gray0625">
          <bgColor theme="7" tint="0.79998168889431442"/>
        </patternFill>
      </fill>
    </dxf>
    <dxf>
      <font>
        <b/>
        <i val="0"/>
        <color rgb="FF0000FF"/>
      </font>
    </dxf>
  </dxfs>
  <tableStyles count="0" defaultTableStyle="TableStyleMedium2" defaultPivotStyle="PivotStyleLight16"/>
  <colors>
    <mruColors>
      <color rgb="FFD9D9D9"/>
      <color rgb="FFC5D9F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externalLink" Target="externalLinks/externalLink9.xml"/><Relationship Id="rId18" Type="http://schemas.openxmlformats.org/officeDocument/2006/relationships/externalLink" Target="externalLinks/externalLink14.xml"/><Relationship Id="rId26" Type="http://schemas.openxmlformats.org/officeDocument/2006/relationships/externalLink" Target="externalLinks/externalLink22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7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externalLink" Target="externalLinks/externalLink13.xml"/><Relationship Id="rId25" Type="http://schemas.openxmlformats.org/officeDocument/2006/relationships/externalLink" Target="externalLinks/externalLink2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2.xml"/><Relationship Id="rId20" Type="http://schemas.openxmlformats.org/officeDocument/2006/relationships/externalLink" Target="externalLinks/externalLink16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24" Type="http://schemas.openxmlformats.org/officeDocument/2006/relationships/externalLink" Target="externalLinks/externalLink20.xml"/><Relationship Id="rId5" Type="http://schemas.openxmlformats.org/officeDocument/2006/relationships/externalLink" Target="externalLinks/externalLink1.xml"/><Relationship Id="rId15" Type="http://schemas.openxmlformats.org/officeDocument/2006/relationships/externalLink" Target="externalLinks/externalLink11.xml"/><Relationship Id="rId23" Type="http://schemas.openxmlformats.org/officeDocument/2006/relationships/externalLink" Target="externalLinks/externalLink19.xml"/><Relationship Id="rId28" Type="http://schemas.openxmlformats.org/officeDocument/2006/relationships/theme" Target="theme/theme1.xml"/><Relationship Id="rId10" Type="http://schemas.openxmlformats.org/officeDocument/2006/relationships/externalLink" Target="externalLinks/externalLink6.xml"/><Relationship Id="rId19" Type="http://schemas.openxmlformats.org/officeDocument/2006/relationships/externalLink" Target="externalLinks/externalLink15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Relationship Id="rId22" Type="http://schemas.openxmlformats.org/officeDocument/2006/relationships/externalLink" Target="externalLinks/externalLink18.xml"/><Relationship Id="rId27" Type="http://schemas.openxmlformats.org/officeDocument/2006/relationships/externalLink" Target="externalLinks/externalLink23.xml"/><Relationship Id="rId30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95_1&#45236;&#50669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erver\&#51228;&#50504;&#49436;\windows\TEMP\&#48156;&#49569;_&#51228;&#52636;&#44204;&#51201;_&#46041;&#48512;&#49373;&#47749;(&#52572;&#51333;&#44204;&#51201;)_02120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henguang\SHARE\xgx\last\WINDOWS\DESKTOP\Guangxi%20Unicom\Guangxi%20CBC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1.194.37\p6task\Documents%20and%20Settings\&#51204;&#44288;&#50857;\My%20Documents\DoNotClick\CMM_&#54868;&#54617;&#50640;&#45320;&#51648;\&#45936;&#51060;&#53552;&#49688;&#51665;&#48143;&#48516;&#49437;&#44288;&#47144;&#51088;&#47308;\&#48373;&#49324;&#48376;%20LCS_STAT_FORM_1.2(&#54532;&#47196;&#51229;&#53944;&#51652;&#54665;&#48372;&#44256;&#49436;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dministrator\Local%20Settings\Temporary%20Internet%20Files\OLK2B\EPro&#46041;&#50577;&#49373;&#47749;&#44204;&#51201;20031106-15&#47749;&#51613;&#49444;1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dministrator\Local%20Settings\Temporary%20Internet%20Files\U9_Analyzer_Ver9.3C2.xla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cmbj04\d\xuyan\xy\MCU\config\cnfids6a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cmbj04\d\WINDOWS\DESKTOP\Guangxi%20Unicom\Guangxi%20CBC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7\MARKETIN\docs\configurator\shalev\TPEC-C8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1999&#45380;\&#50696;&#49328;-&#45236;&#50669;&#49436;\&#50696;&#49328;&#44288;&#47144;&#49436;&#47448;\99-05-&#49436;&#50872;&#45824;&#45236;&#50669;&#49436;\&#52572;&#51333;&#54028;&#51068;\99-05-10-&#49436;&#50872;&#45824;&#44288;&#47144;(&#45236;&#50669;&#49436;-1&#49688;&#51221;&#51473;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1999&#45380;\&#50696;&#49328;-&#45236;&#50669;&#49436;\&#50696;&#49328;&#44288;&#47144;&#49436;&#47448;\99-04-19-&#49436;&#50872;&#45824;&#44288;&#47144;\99-04-19-&#49436;&#50872;&#45824;&#44288;&#47144;(&#49688;&#51221;&#51473;)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1999&#45380;\&#50696;&#49328;-&#45236;&#50669;&#49436;\&#50696;&#49328;&#44288;&#47144;&#49436;&#47448;\99-05-&#49436;&#50872;&#45824;&#45236;&#50669;&#49436;\&#52572;&#51333;&#54028;&#51068;\1.&#47609;&#50516;&#44144;&#44288;&#47144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erver\&#51228;&#50504;&#49436;\DOCUME~1\&#51204;&#51456;\LOCALS~1\Temp\&#50896;&#44032;&#44204;&#51201;_SK&#49373;&#47749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.100.200\&#54620;&#44397;&#51613;&#44428;&#44552;&#50997;&#52264;&#49464;&#45824;_&#44060;&#48156;\eng_repo\IFSS%20EngCS%20&#48169;&#48277;&#47200;%20&#51228;&#51221;\08&#45380;%20&#54616;&#48152;&#44592;\99.%20&#52280;&#51312;&#51088;&#47308;\01.%20&#49888;&#50689;&#51613;&#44428;%20&#44277;&#51221;%20&#51088;&#47308;\&#44277;&#51221;%20&#48143;%20&#54364;&#51456;\DS05_(&#49368;&#54540;&#50577;&#49885;)&#54532;&#47196;&#44536;&#47016;&#47785;&#47197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6.&#44256;&#44061;&#49324;&#51228;&#50504;\&#46041;&#50577;&#49373;&#47749;\&#44204;&#51201;&#49436;-&#52572;&#51333;%20&#48143;%20Spec&#44288;&#47144;-030825\Agent40IVR60(030826)-&#52572;&#51333;&#44204;&#51201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henguang\SHARE\xgx\last\WINDOWS\DESKTOP\Guangxi%20Unicom\Guangxi%20VM%20(R1)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\temp\Telstra%20IS&amp;W%20Newcastle%2021_05_02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54633;&#52380;&#45236;&#50669;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SLEE\LION&#51076;&#49884;\lion&#51076;&#49884;\&#51089;&#50629;\lgcapital\&#52880;&#54588;&#53448;&#52572;&#51333;&#44204;&#51201;\&#50629;&#52404;&#44204;&#51201;&#49436;\&#47196;&#52964;&#49828;1486&#49437;&#44204;&#51201;&#49436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y%20Documents\shims\&#44397;&#49464;&#52397;\&#50896;&#44032;&#48516;&#49437;_&#44397;&#49464;&#52397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1221;&#51228;\&#54788;&#51116;&#50896;&#44032;&#48516;&#49437;\compact-ACS&#48516;&#49437;&#51473;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/98.Work/20180115-&#44305;&#51109;_&#51648;&#50896;/100.%20&#54532;&#47196;&#51229;&#53944;%20&#44288;&#47532;/&#51452;&#44036;&#48372;&#44256;/&#51452;&#44036;&#48372;&#44256;_&#48277;&#47924;&#48277;&#51064;&#44305;&#51109;_&#51204;&#51088;&#44208;&#51116;&#49884;&#49828;&#53596;_&#44396;&#52629;_20171214.xlsm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436;&#48260;\&#46041;&#48169;\2001&#45380;&#44221;&#50896;\7,&#44221;&#50896;(&#44288;&#47532;&#48512;)\WIN95\&#48148;&#53461;%20&#54868;&#47732;\My%20Documents\&#50672;&#49845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합천내역"/>
      <sheetName val="95_1차_시스템"/>
      <sheetName val="합천원가"/>
      <sheetName val="표지"/>
      <sheetName val="공사원가계산서"/>
      <sheetName val="조정실"/>
      <sheetName val="스튜디오"/>
      <sheetName val="편집실"/>
      <sheetName val="시설자재"/>
      <sheetName val="조명"/>
      <sheetName val="대강당"/>
      <sheetName val="시청각실"/>
      <sheetName val="(실사조정)총괄"/>
      <sheetName val="기계경비(시간당)"/>
      <sheetName val="램머"/>
      <sheetName val="설계서"/>
      <sheetName val="1000 DB구축 부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uotation"/>
      <sheetName val="HW-표지"/>
      <sheetName val="PBX "/>
      <sheetName val="IVR"/>
      <sheetName val="SERVERS1"/>
      <sheetName val="SERVERS2 "/>
      <sheetName val="Recording,Phone,Headset,PC"/>
      <sheetName val="전광판,SMS"/>
      <sheetName val="AMS"/>
      <sheetName val="SW-표지"/>
      <sheetName val="TeleWeb,CTIPro2002"/>
      <sheetName val="기타SW"/>
      <sheetName val="개발비-표지"/>
      <sheetName val="개발비"/>
      <sheetName val="기타-표지 "/>
      <sheetName val="RACK"/>
      <sheetName val="NETWORK"/>
      <sheetName val="Recording_Phone_Headset_PC"/>
      <sheetName val="02년7월 옵션 가격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">
          <cell r="A1" t="str">
            <v>10. Recording System</v>
          </cell>
          <cell r="B1">
            <v>40</v>
          </cell>
        </row>
        <row r="3">
          <cell r="A3" t="str">
            <v>명   세</v>
          </cell>
          <cell r="B3" t="str">
            <v>수 량</v>
          </cell>
          <cell r="C3" t="str">
            <v>단 가</v>
          </cell>
          <cell r="D3" t="str">
            <v>금액(원)</v>
          </cell>
        </row>
        <row r="4">
          <cell r="A4" t="str">
            <v>1.산업용컴퓨터(4U Redundant power)</v>
          </cell>
          <cell r="B4">
            <v>1</v>
          </cell>
          <cell r="C4">
            <v>15000000</v>
          </cell>
          <cell r="D4">
            <v>15000000</v>
          </cell>
        </row>
        <row r="5">
          <cell r="A5" t="str">
            <v xml:space="preserve">  1) Chassis 4U (414SR/320R) Black color</v>
          </cell>
          <cell r="B5">
            <v>1</v>
          </cell>
        </row>
        <row r="6">
          <cell r="A6" t="str">
            <v xml:space="preserve">     -WXDXH (483X510X177mm)</v>
          </cell>
        </row>
        <row r="7">
          <cell r="A7" t="str">
            <v xml:space="preserve">     -5.25inch bay 3ea,3.5inch bay 1ea</v>
          </cell>
        </row>
        <row r="8">
          <cell r="A8" t="str">
            <v xml:space="preserve">     -Cooling Fan 12cm x 1ea</v>
          </cell>
        </row>
        <row r="9">
          <cell r="A9" t="str">
            <v xml:space="preserve">     -Redundant power  320watt(BPS320RDX)</v>
          </cell>
        </row>
        <row r="10">
          <cell r="A10" t="str">
            <v xml:space="preserve">  2)CPU Board FS-960V</v>
          </cell>
          <cell r="B10">
            <v>1</v>
          </cell>
        </row>
        <row r="11">
          <cell r="A11" t="str">
            <v xml:space="preserve">     -PIII Single 100/133Mhz FSB up to 1Ghz</v>
          </cell>
        </row>
        <row r="12">
          <cell r="A12" t="str">
            <v xml:space="preserve">     -Max 1.5GB memory DIMMX3ea</v>
          </cell>
        </row>
        <row r="13">
          <cell r="A13" t="str">
            <v xml:space="preserve">     -On board VGA</v>
          </cell>
        </row>
        <row r="14">
          <cell r="A14" t="str">
            <v xml:space="preserve">  3)CPU PIII 1Ghz -Coppermine CPU</v>
          </cell>
          <cell r="B14">
            <v>1</v>
          </cell>
        </row>
        <row r="15">
          <cell r="A15" t="str">
            <v xml:space="preserve">  4)NBP1404  B/P 14slot(ISA 11EA,PCI 4EA)</v>
          </cell>
          <cell r="B15">
            <v>1</v>
          </cell>
        </row>
        <row r="16">
          <cell r="A16" t="str">
            <v xml:space="preserve">  5) ECC 1Ghz(512MB* 2ea)-Samsung</v>
          </cell>
          <cell r="B16">
            <v>2</v>
          </cell>
        </row>
        <row r="17">
          <cell r="A17" t="str">
            <v xml:space="preserve">  6)IDE HDD 80GB(7200rpm)</v>
          </cell>
          <cell r="B17">
            <v>1</v>
          </cell>
        </row>
        <row r="18">
          <cell r="A18" t="str">
            <v xml:space="preserve">  7)IDE Hard Hot swap Rack</v>
          </cell>
          <cell r="B18">
            <v>1</v>
          </cell>
        </row>
        <row r="19">
          <cell r="A19" t="str">
            <v xml:space="preserve">  8)SCSI HDD 18.2GB(80Pin, 10,000 RPM)-Seagate</v>
          </cell>
          <cell r="B19">
            <v>1</v>
          </cell>
        </row>
        <row r="20">
          <cell r="A20" t="str">
            <v xml:space="preserve">  9)SCSI HDD Rack(80 Pin, LCD Type)</v>
          </cell>
          <cell r="B20">
            <v>1</v>
          </cell>
        </row>
        <row r="21">
          <cell r="A21" t="str">
            <v xml:space="preserve">  10)SCSI Controller(AHA2940UW)</v>
          </cell>
          <cell r="B21">
            <v>1</v>
          </cell>
        </row>
        <row r="22">
          <cell r="A22" t="str">
            <v xml:space="preserve">  11)FDD 1.44MB</v>
          </cell>
          <cell r="B22">
            <v>1</v>
          </cell>
        </row>
        <row r="23">
          <cell r="A23" t="str">
            <v xml:space="preserve">  12)Key board &amp; Wheel Mouse -Rack type</v>
          </cell>
          <cell r="B23">
            <v>1</v>
          </cell>
        </row>
        <row r="24">
          <cell r="A24" t="str">
            <v xml:space="preserve">  13)Windows 2000 Pro(DSP)</v>
          </cell>
          <cell r="B24">
            <v>1</v>
          </cell>
        </row>
        <row r="25">
          <cell r="A25" t="str">
            <v xml:space="preserve">  14) DVD RAM(LF-D291N)-SCSI Type</v>
          </cell>
          <cell r="B25">
            <v>1</v>
          </cell>
        </row>
        <row r="26">
          <cell r="A26" t="str">
            <v xml:space="preserve">     -Media x 1ea</v>
          </cell>
          <cell r="B26">
            <v>1</v>
          </cell>
        </row>
        <row r="27">
          <cell r="A27" t="str">
            <v xml:space="preserve"> 15)Intel pro 10/100Mbps</v>
          </cell>
          <cell r="B27">
            <v>1</v>
          </cell>
        </row>
        <row r="29">
          <cell r="A29" t="str">
            <v>2. Agent Channel</v>
          </cell>
          <cell r="B29">
            <v>63</v>
          </cell>
          <cell r="C29">
            <v>1200000</v>
          </cell>
          <cell r="D29">
            <v>75600000</v>
          </cell>
        </row>
        <row r="31">
          <cell r="A31" t="str">
            <v xml:space="preserve">3. Admin Channel </v>
          </cell>
          <cell r="B31">
            <v>17</v>
          </cell>
          <cell r="C31">
            <v>1500000</v>
          </cell>
          <cell r="D31">
            <v>25500000</v>
          </cell>
        </row>
        <row r="33">
          <cell r="A33" t="str">
            <v>4. Interface Module Jack</v>
          </cell>
          <cell r="B33">
            <v>63</v>
          </cell>
          <cell r="C33">
            <v>30000</v>
          </cell>
          <cell r="D33">
            <v>1890000</v>
          </cell>
        </row>
        <row r="35">
          <cell r="A35" t="str">
            <v>5. CTI Interface Module</v>
          </cell>
          <cell r="B35">
            <v>1</v>
          </cell>
          <cell r="C35">
            <v>30000000</v>
          </cell>
          <cell r="D35">
            <v>30000000</v>
          </cell>
        </row>
        <row r="37">
          <cell r="A37" t="str">
            <v>합     계</v>
          </cell>
          <cell r="D37">
            <v>147990000</v>
          </cell>
        </row>
        <row r="38">
          <cell r="A38" t="str">
            <v>Special D/C</v>
          </cell>
          <cell r="D38">
            <v>88794000</v>
          </cell>
        </row>
        <row r="39">
          <cell r="A39" t="str">
            <v>제 안 금 액</v>
          </cell>
          <cell r="D39">
            <v>59196000</v>
          </cell>
        </row>
        <row r="41">
          <cell r="A41" t="str">
            <v>11. Agent/Manager Phone</v>
          </cell>
        </row>
        <row r="43">
          <cell r="A43" t="str">
            <v>명   세</v>
          </cell>
          <cell r="B43" t="str">
            <v>수 량</v>
          </cell>
          <cell r="C43" t="str">
            <v>단 가</v>
          </cell>
          <cell r="D43" t="str">
            <v>금액(원)</v>
          </cell>
        </row>
        <row r="44">
          <cell r="A44" t="str">
            <v>Digital Phone(상담원:63, 관리자:17)</v>
          </cell>
          <cell r="B44">
            <v>80</v>
          </cell>
        </row>
        <row r="45">
          <cell r="A45" t="str">
            <v>DEF TELSET 6408D+ INTL WH ACTR READY</v>
          </cell>
          <cell r="B45">
            <v>80</v>
          </cell>
          <cell r="C45">
            <v>498100</v>
          </cell>
          <cell r="D45">
            <v>39848000</v>
          </cell>
        </row>
        <row r="47">
          <cell r="A47" t="str">
            <v>합     계</v>
          </cell>
          <cell r="D47">
            <v>39848000</v>
          </cell>
        </row>
        <row r="48">
          <cell r="A48" t="str">
            <v>Special D/C</v>
          </cell>
          <cell r="D48">
            <v>15939200</v>
          </cell>
        </row>
        <row r="49">
          <cell r="A49" t="str">
            <v>제 안 금 액</v>
          </cell>
          <cell r="D49">
            <v>23908000</v>
          </cell>
        </row>
        <row r="53">
          <cell r="A53" t="str">
            <v>12. Agent Headset</v>
          </cell>
        </row>
        <row r="55">
          <cell r="A55" t="str">
            <v>명   세</v>
          </cell>
          <cell r="B55" t="str">
            <v>수 량</v>
          </cell>
          <cell r="C55" t="str">
            <v>단 가</v>
          </cell>
          <cell r="D55" t="str">
            <v>금액(원)</v>
          </cell>
        </row>
        <row r="56">
          <cell r="A56" t="str">
            <v>Agent Headset</v>
          </cell>
          <cell r="B56">
            <v>80</v>
          </cell>
        </row>
        <row r="57">
          <cell r="A57" t="str">
            <v>Supra Headset</v>
          </cell>
          <cell r="B57">
            <v>80</v>
          </cell>
          <cell r="C57">
            <v>250000</v>
          </cell>
          <cell r="D57">
            <v>20000000</v>
          </cell>
        </row>
        <row r="59">
          <cell r="A59" t="str">
            <v>합     계</v>
          </cell>
          <cell r="D59">
            <v>20000000</v>
          </cell>
        </row>
        <row r="60">
          <cell r="A60" t="str">
            <v>Special D/C</v>
          </cell>
          <cell r="D60">
            <v>11000000</v>
          </cell>
        </row>
        <row r="61">
          <cell r="A61" t="str">
            <v>제 안 금 액</v>
          </cell>
          <cell r="D61">
            <v>9000000</v>
          </cell>
        </row>
        <row r="64">
          <cell r="A64" t="str">
            <v>13. Agent/Manager PC</v>
          </cell>
        </row>
        <row r="66">
          <cell r="A66" t="str">
            <v>명   세</v>
          </cell>
          <cell r="B66" t="str">
            <v>수 량</v>
          </cell>
          <cell r="C66" t="str">
            <v>단 가</v>
          </cell>
          <cell r="D66" t="str">
            <v>금액(원)</v>
          </cell>
        </row>
        <row r="67">
          <cell r="A67" t="str">
            <v>PC</v>
          </cell>
          <cell r="B67">
            <v>80</v>
          </cell>
        </row>
        <row r="68">
          <cell r="A68" t="str">
            <v>Pentium IV PC</v>
          </cell>
          <cell r="B68">
            <v>80</v>
          </cell>
          <cell r="C68">
            <v>1575000</v>
          </cell>
          <cell r="D68">
            <v>126000000</v>
          </cell>
        </row>
        <row r="69">
          <cell r="A69" t="str">
            <v xml:space="preserve">  CPU P4_1.8G, 512Memory</v>
          </cell>
        </row>
        <row r="70">
          <cell r="A70" t="str">
            <v xml:space="preserve">  Cache :  256KB</v>
          </cell>
        </row>
        <row r="71">
          <cell r="A71" t="str">
            <v xml:space="preserve">  HDD :  40GB</v>
          </cell>
        </row>
        <row r="72">
          <cell r="A72" t="str">
            <v xml:space="preserve">  CD ROM :  40X</v>
          </cell>
        </row>
        <row r="73">
          <cell r="A73" t="str">
            <v xml:space="preserve">  FDD :  1.44"</v>
          </cell>
        </row>
        <row r="74">
          <cell r="A74" t="str">
            <v xml:space="preserve">  VGA : AGP 32MB</v>
          </cell>
        </row>
        <row r="75">
          <cell r="A75" t="str">
            <v xml:space="preserve">  SOUND CARD</v>
          </cell>
        </row>
        <row r="76">
          <cell r="A76" t="str">
            <v xml:space="preserve">  LAN : 10/100용 랜카드</v>
          </cell>
        </row>
        <row r="77">
          <cell r="A77" t="str">
            <v xml:space="preserve">  한글 107용 키보드</v>
          </cell>
        </row>
        <row r="78">
          <cell r="A78" t="str">
            <v xml:space="preserve">  OS: WINDOWS XP PRO</v>
          </cell>
        </row>
        <row r="79">
          <cell r="A79" t="str">
            <v>15" TFT LCD Monitor</v>
          </cell>
          <cell r="B79">
            <v>80</v>
          </cell>
          <cell r="C79">
            <v>690000</v>
          </cell>
          <cell r="D79">
            <v>55200000</v>
          </cell>
        </row>
        <row r="81">
          <cell r="A81" t="str">
            <v>합     계</v>
          </cell>
          <cell r="D81">
            <v>181200000</v>
          </cell>
        </row>
        <row r="82">
          <cell r="A82" t="str">
            <v>Special D/C</v>
          </cell>
          <cell r="D82">
            <v>51132000</v>
          </cell>
        </row>
        <row r="83">
          <cell r="A83" t="str">
            <v>제 안 금 액</v>
          </cell>
          <cell r="D83">
            <v>130068000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BC Price Summary"/>
      <sheetName val="Parameters"/>
      <sheetName val="Configuration"/>
      <sheetName val="Configuration (2)"/>
    </sheetNames>
    <sheetDataSet>
      <sheetData sheetId="0"/>
      <sheetData sheetId="1">
        <row r="4">
          <cell r="B4" t="b">
            <v>1</v>
          </cell>
        </row>
        <row r="5">
          <cell r="B5" t="b">
            <v>0</v>
          </cell>
        </row>
        <row r="6">
          <cell r="B6" t="b">
            <v>0</v>
          </cell>
        </row>
        <row r="7">
          <cell r="B7" t="b">
            <v>0</v>
          </cell>
        </row>
        <row r="8">
          <cell r="B8" t="b">
            <v>0</v>
          </cell>
        </row>
        <row r="9">
          <cell r="B9" t="b">
            <v>0</v>
          </cell>
        </row>
        <row r="10">
          <cell r="B10" t="b">
            <v>0</v>
          </cell>
        </row>
        <row r="11">
          <cell r="B11">
            <v>300</v>
          </cell>
        </row>
        <row r="12">
          <cell r="B12" t="b">
            <v>0</v>
          </cell>
        </row>
        <row r="13">
          <cell r="B13" t="b">
            <v>1</v>
          </cell>
        </row>
        <row r="14">
          <cell r="B14" t="b">
            <v>0</v>
          </cell>
        </row>
        <row r="17">
          <cell r="B17">
            <v>1</v>
          </cell>
        </row>
        <row r="18">
          <cell r="B18">
            <v>1</v>
          </cell>
        </row>
        <row r="19">
          <cell r="B19" t="b">
            <v>0</v>
          </cell>
        </row>
        <row r="20">
          <cell r="B20" t="b">
            <v>0</v>
          </cell>
        </row>
      </sheetData>
      <sheetData sheetId="2"/>
      <sheetData sheetId="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요약"/>
      <sheetName val="2.일정추적"/>
      <sheetName val="3.규모추적"/>
      <sheetName val="4.1공수분석_개발"/>
      <sheetName val="4.2공수추적_관리"/>
      <sheetName val="5.1결함분석_현황"/>
      <sheetName val="5.2결함분석_제거"/>
      <sheetName val="6.Risks"/>
      <sheetName val="7.실시내용 &amp; Issues"/>
      <sheetName val="8.Lessons"/>
      <sheetName val="99.1공수"/>
      <sheetName val="99.2결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갑지"/>
      <sheetName val="EPro"/>
      <sheetName val="EP-SIHI"/>
      <sheetName val="설치공사비"/>
    </sheetNames>
    <sheetDataSet>
      <sheetData sheetId="0"/>
      <sheetData sheetId="1"/>
      <sheetData sheetId="2"/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GS"/>
      <sheetName val="PSData"/>
    </sheetNames>
    <sheetDataSet>
      <sheetData sheetId="0">
        <row r="4">
          <cell r="A4" t="str">
            <v>89-100-1012</v>
          </cell>
          <cell r="B4" t="str">
            <v>Standard Recording Station Module</v>
          </cell>
          <cell r="C4">
            <v>2315</v>
          </cell>
        </row>
        <row r="5">
          <cell r="A5" t="str">
            <v>89-100-1013</v>
          </cell>
          <cell r="B5" t="str">
            <v>Standard Recording Station Module - H/A</v>
          </cell>
          <cell r="C5">
            <v>3416</v>
          </cell>
        </row>
        <row r="6">
          <cell r="A6" t="str">
            <v>89-100-1015</v>
          </cell>
          <cell r="B6" t="str">
            <v>Standard Recording Trunk Module - H/A</v>
          </cell>
          <cell r="C6">
            <v>5155</v>
          </cell>
        </row>
        <row r="7">
          <cell r="A7" t="str">
            <v>89-100-1016</v>
          </cell>
          <cell r="B7" t="str">
            <v>Standard Recording Termination Module - H/A</v>
          </cell>
          <cell r="C7">
            <v>5560</v>
          </cell>
        </row>
        <row r="8">
          <cell r="A8" t="str">
            <v>89-100-1014</v>
          </cell>
          <cell r="B8" t="str">
            <v>Standard Recording Trunk Module</v>
          </cell>
          <cell r="C8">
            <v>4195</v>
          </cell>
        </row>
        <row r="9">
          <cell r="A9" t="str">
            <v>89-100-3014</v>
          </cell>
          <cell r="B9" t="str">
            <v>72GB Disk For Termination Trunk Module</v>
          </cell>
          <cell r="C9">
            <v>432</v>
          </cell>
        </row>
        <row r="10">
          <cell r="A10" t="str">
            <v>89-100-2010</v>
          </cell>
          <cell r="B10" t="str">
            <v>16 Chan for Analog Recording</v>
          </cell>
          <cell r="C10">
            <v>368</v>
          </cell>
        </row>
        <row r="11">
          <cell r="A11" t="str">
            <v>89-100-2011</v>
          </cell>
          <cell r="B11" t="str">
            <v>16 Chan for Digital Recording</v>
          </cell>
          <cell r="C11">
            <v>576</v>
          </cell>
        </row>
        <row r="12">
          <cell r="A12" t="str">
            <v>89-100-2016</v>
          </cell>
          <cell r="B12" t="str">
            <v>24 Chan NGX 2400 Card - Digital</v>
          </cell>
          <cell r="C12">
            <v>1172</v>
          </cell>
        </row>
        <row r="13">
          <cell r="A13" t="str">
            <v>89-100-3030</v>
          </cell>
          <cell r="B13" t="str">
            <v>NGX Serial Interface Tapping Box</v>
          </cell>
          <cell r="C13">
            <v>106</v>
          </cell>
        </row>
        <row r="14">
          <cell r="A14" t="str">
            <v>89-100-2012</v>
          </cell>
          <cell r="B14" t="str">
            <v>IPM 260 60 Channels</v>
          </cell>
          <cell r="C14">
            <v>1518</v>
          </cell>
        </row>
        <row r="15">
          <cell r="A15" t="str">
            <v>89-100-2013</v>
          </cell>
          <cell r="B15" t="str">
            <v>IPM 260 120 Channels</v>
          </cell>
          <cell r="C15">
            <v>1821</v>
          </cell>
        </row>
        <row r="16">
          <cell r="A16" t="str">
            <v>89-100-2014</v>
          </cell>
          <cell r="B16" t="str">
            <v>IPM 260 120 channels Termination</v>
          </cell>
          <cell r="C16">
            <v>2351</v>
          </cell>
        </row>
        <row r="17">
          <cell r="A17" t="str">
            <v>89-100-2015</v>
          </cell>
          <cell r="B17" t="str">
            <v>IPM 260 60 channels Interception (2 Intercepted Trunks)</v>
          </cell>
          <cell r="C17">
            <v>1716</v>
          </cell>
        </row>
        <row r="18">
          <cell r="A18" t="str">
            <v>89-902-3001</v>
          </cell>
          <cell r="B18" t="str">
            <v>UTP Unit</v>
          </cell>
          <cell r="C18">
            <v>400</v>
          </cell>
        </row>
        <row r="19">
          <cell r="A19" t="str">
            <v>89-100-3004</v>
          </cell>
          <cell r="B19" t="str">
            <v>VAM Patch Panel 8 Input</v>
          </cell>
          <cell r="C19">
            <v>227</v>
          </cell>
        </row>
        <row r="20">
          <cell r="A20" t="str">
            <v>89-100-3005</v>
          </cell>
          <cell r="B20" t="str">
            <v>VAM Patch Module for T1</v>
          </cell>
          <cell r="C20">
            <v>53</v>
          </cell>
        </row>
        <row r="21">
          <cell r="A21" t="str">
            <v>89-100-3006</v>
          </cell>
          <cell r="B21" t="str">
            <v>VAM Patch Module for E1</v>
          </cell>
          <cell r="C21">
            <v>53</v>
          </cell>
        </row>
        <row r="22">
          <cell r="A22" t="str">
            <v>89-901-3017</v>
          </cell>
          <cell r="B22" t="str">
            <v>Telco Cables</v>
          </cell>
          <cell r="C22">
            <v>27</v>
          </cell>
        </row>
        <row r="23">
          <cell r="A23" t="str">
            <v>89-901-1001</v>
          </cell>
          <cell r="B23" t="str">
            <v>Standard Rack 37U</v>
          </cell>
          <cell r="C23">
            <v>3238</v>
          </cell>
        </row>
        <row r="24">
          <cell r="A24" t="str">
            <v>89-901-1002</v>
          </cell>
          <cell r="B24" t="str">
            <v>Secondary Rack 37U</v>
          </cell>
          <cell r="C24">
            <v>1532</v>
          </cell>
        </row>
        <row r="25">
          <cell r="A25" t="str">
            <v>89-901-3020</v>
          </cell>
          <cell r="B25" t="str">
            <v>24-Port Switching Hub 10/100Mbps ports</v>
          </cell>
          <cell r="C25">
            <v>292</v>
          </cell>
        </row>
        <row r="26">
          <cell r="A26" t="str">
            <v>89-901-3001</v>
          </cell>
          <cell r="B26" t="str">
            <v>Rack Doors</v>
          </cell>
          <cell r="C26">
            <v>178</v>
          </cell>
        </row>
        <row r="27">
          <cell r="A27" t="str">
            <v>89-110-1012</v>
          </cell>
          <cell r="B27" t="str">
            <v>Standard Recording Station Module</v>
          </cell>
          <cell r="C27">
            <v>2315</v>
          </cell>
        </row>
        <row r="28">
          <cell r="A28" t="str">
            <v>89-110-1013</v>
          </cell>
          <cell r="B28" t="str">
            <v>Standard Recording Station Module - H/A</v>
          </cell>
          <cell r="C28">
            <v>3416</v>
          </cell>
        </row>
        <row r="29">
          <cell r="A29" t="str">
            <v>89-110-1015</v>
          </cell>
          <cell r="B29" t="str">
            <v>Standard Recording Trunk Module - H/A</v>
          </cell>
          <cell r="C29">
            <v>5155</v>
          </cell>
        </row>
        <row r="30">
          <cell r="A30" t="str">
            <v>89-110-1016</v>
          </cell>
          <cell r="B30" t="str">
            <v>Standard Recording Termination Module - H/A</v>
          </cell>
          <cell r="C30">
            <v>5560</v>
          </cell>
        </row>
        <row r="31">
          <cell r="A31" t="str">
            <v>89-110-1014</v>
          </cell>
          <cell r="B31" t="str">
            <v>Standard Recording Trunk Module</v>
          </cell>
          <cell r="C31">
            <v>4195</v>
          </cell>
        </row>
        <row r="32">
          <cell r="A32" t="str">
            <v>89-110-3014</v>
          </cell>
          <cell r="B32" t="str">
            <v>72GB Disk For Termination Trunk Module</v>
          </cell>
          <cell r="C32">
            <v>432</v>
          </cell>
        </row>
        <row r="33">
          <cell r="A33" t="str">
            <v>89-110-2010</v>
          </cell>
          <cell r="B33" t="str">
            <v>16 Chan for Analog Recording</v>
          </cell>
          <cell r="C33">
            <v>368</v>
          </cell>
        </row>
        <row r="34">
          <cell r="A34" t="str">
            <v>89-110-2011</v>
          </cell>
          <cell r="B34" t="str">
            <v>16 Chan for Digital Recording</v>
          </cell>
          <cell r="C34">
            <v>576</v>
          </cell>
        </row>
        <row r="35">
          <cell r="A35" t="str">
            <v>89-110-2016</v>
          </cell>
          <cell r="B35" t="str">
            <v>24 Chan NGX 2400 Card - Digital</v>
          </cell>
          <cell r="C35">
            <v>1172</v>
          </cell>
        </row>
        <row r="36">
          <cell r="A36" t="str">
            <v>89-110-3030</v>
          </cell>
          <cell r="B36" t="str">
            <v>NGX Serial Interface Tapping Box</v>
          </cell>
          <cell r="C36">
            <v>106</v>
          </cell>
        </row>
        <row r="37">
          <cell r="A37" t="str">
            <v>89-110-2012</v>
          </cell>
          <cell r="B37" t="str">
            <v>IPM 260 60 Channels</v>
          </cell>
          <cell r="C37">
            <v>1518</v>
          </cell>
        </row>
        <row r="38">
          <cell r="A38" t="str">
            <v>89-110-2013</v>
          </cell>
          <cell r="B38" t="str">
            <v>IPM 260 120 Channels</v>
          </cell>
          <cell r="C38">
            <v>1821</v>
          </cell>
        </row>
        <row r="39">
          <cell r="A39" t="str">
            <v>89-110-2014</v>
          </cell>
          <cell r="B39" t="str">
            <v>IPM 260 120 channels Termination</v>
          </cell>
          <cell r="C39">
            <v>2351</v>
          </cell>
        </row>
        <row r="40">
          <cell r="A40" t="str">
            <v>89-110-2015</v>
          </cell>
          <cell r="B40" t="str">
            <v>IPM 260 60 channels Interception (2 Intercepted Trunks)</v>
          </cell>
          <cell r="C40">
            <v>1716</v>
          </cell>
        </row>
        <row r="41">
          <cell r="A41" t="str">
            <v>89-912-3001</v>
          </cell>
          <cell r="B41" t="str">
            <v>UTP Unit</v>
          </cell>
          <cell r="C41">
            <v>400</v>
          </cell>
        </row>
        <row r="42">
          <cell r="A42" t="str">
            <v>89-110-3004</v>
          </cell>
          <cell r="B42" t="str">
            <v>VAM Patch Panel 8 Input</v>
          </cell>
          <cell r="C42">
            <v>227</v>
          </cell>
        </row>
        <row r="43">
          <cell r="A43" t="str">
            <v>89-110-3005</v>
          </cell>
          <cell r="B43" t="str">
            <v>VAM Patch Module for T1</v>
          </cell>
          <cell r="C43">
            <v>53</v>
          </cell>
        </row>
        <row r="44">
          <cell r="A44" t="str">
            <v>89-110-3006</v>
          </cell>
          <cell r="B44" t="str">
            <v>VAM Patch Module for E1</v>
          </cell>
          <cell r="C44">
            <v>53</v>
          </cell>
        </row>
        <row r="45">
          <cell r="A45" t="str">
            <v>89-911-3017</v>
          </cell>
          <cell r="B45" t="str">
            <v>Telco Cables</v>
          </cell>
          <cell r="C45">
            <v>27</v>
          </cell>
        </row>
        <row r="46">
          <cell r="A46" t="str">
            <v>89-911-1001</v>
          </cell>
          <cell r="B46" t="str">
            <v>Standard Rack 37U</v>
          </cell>
          <cell r="C46">
            <v>3238</v>
          </cell>
        </row>
        <row r="47">
          <cell r="A47" t="str">
            <v>89-911-1002</v>
          </cell>
          <cell r="B47" t="str">
            <v>Secondary Rack 37U</v>
          </cell>
          <cell r="C47">
            <v>1532</v>
          </cell>
        </row>
        <row r="48">
          <cell r="A48" t="str">
            <v>89-911-3020</v>
          </cell>
          <cell r="B48" t="str">
            <v>24-Port Switching Hub 10/100Mbps ports</v>
          </cell>
          <cell r="C48">
            <v>292</v>
          </cell>
        </row>
        <row r="49">
          <cell r="A49" t="str">
            <v>89-911-3001</v>
          </cell>
          <cell r="B49" t="str">
            <v>Rack Doors</v>
          </cell>
          <cell r="C49">
            <v>178</v>
          </cell>
        </row>
        <row r="50">
          <cell r="A50" t="str">
            <v>89-102-1001</v>
          </cell>
          <cell r="B50" t="str">
            <v>VoIP Recording Module</v>
          </cell>
          <cell r="C50">
            <v>1547</v>
          </cell>
        </row>
        <row r="51">
          <cell r="A51" t="str">
            <v>89-102-1002</v>
          </cell>
          <cell r="B51" t="str">
            <v>VoIP Recording Module - HA</v>
          </cell>
          <cell r="C51">
            <v>4184</v>
          </cell>
        </row>
        <row r="52">
          <cell r="A52" t="str">
            <v>89-902-3003</v>
          </cell>
          <cell r="B52" t="str">
            <v>Switching Hub 24 ports</v>
          </cell>
          <cell r="C52">
            <v>634</v>
          </cell>
        </row>
        <row r="53">
          <cell r="A53" t="str">
            <v>89-902-3004</v>
          </cell>
          <cell r="B53" t="str">
            <v>Hub 10/100 12 Port</v>
          </cell>
          <cell r="C53">
            <v>240</v>
          </cell>
        </row>
        <row r="54">
          <cell r="A54" t="str">
            <v>89-400-1003</v>
          </cell>
          <cell r="B54" t="str">
            <v>Standard Audio Compression Server</v>
          </cell>
          <cell r="C54">
            <v>1387</v>
          </cell>
        </row>
        <row r="55">
          <cell r="A55" t="str">
            <v>89-400-1004</v>
          </cell>
          <cell r="B55" t="str">
            <v>Premium Audio Compression Server</v>
          </cell>
          <cell r="C55">
            <v>3542</v>
          </cell>
        </row>
        <row r="56">
          <cell r="A56" t="str">
            <v>89-100-1098</v>
          </cell>
          <cell r="B56" t="str">
            <v>Spare Parts</v>
          </cell>
          <cell r="C56">
            <v>4000</v>
          </cell>
        </row>
        <row r="57">
          <cell r="A57" t="str">
            <v>89-700-1002</v>
          </cell>
          <cell r="B57" t="str">
            <v>ULTRA Platform Server</v>
          </cell>
          <cell r="C57">
            <v>6479</v>
          </cell>
        </row>
        <row r="58">
          <cell r="A58" t="str">
            <v>89-700-1004</v>
          </cell>
          <cell r="B58" t="str">
            <v>ULTRA Platform Server w/o Application Server</v>
          </cell>
          <cell r="C58">
            <v>5135</v>
          </cell>
        </row>
        <row r="59">
          <cell r="A59" t="str">
            <v>89-500-1010</v>
          </cell>
          <cell r="B59" t="str">
            <v>Database Backup Tape Drive</v>
          </cell>
          <cell r="C59">
            <v>697</v>
          </cell>
        </row>
        <row r="60">
          <cell r="A60" t="str">
            <v>89-600-1008</v>
          </cell>
          <cell r="B60" t="str">
            <v>Standalone IntelliFlow Server</v>
          </cell>
          <cell r="C60">
            <v>1461</v>
          </cell>
        </row>
        <row r="61">
          <cell r="A61" t="str">
            <v>89-300-3001</v>
          </cell>
          <cell r="B61" t="str">
            <v>OSP AIT Backup Tape Drive</v>
          </cell>
          <cell r="C61">
            <v>1208</v>
          </cell>
        </row>
        <row r="62">
          <cell r="A62" t="str">
            <v>89-300-2033</v>
          </cell>
          <cell r="B62" t="str">
            <v>Storage Expansion: 72GB Disk</v>
          </cell>
          <cell r="C62">
            <v>310</v>
          </cell>
        </row>
        <row r="63">
          <cell r="A63" t="str">
            <v>43-060-1808</v>
          </cell>
          <cell r="B63" t="str">
            <v>Storage Expansion: 146GB Disk</v>
          </cell>
          <cell r="C63">
            <v>510</v>
          </cell>
        </row>
        <row r="64">
          <cell r="A64" t="str">
            <v>89-300-2002</v>
          </cell>
          <cell r="B64" t="str">
            <v>Storage Expansion: Enclosure</v>
          </cell>
          <cell r="C64">
            <v>2150</v>
          </cell>
        </row>
        <row r="65">
          <cell r="A65" t="str">
            <v>89-301-3001</v>
          </cell>
          <cell r="B65" t="str">
            <v>Central OSP - Backup Tape</v>
          </cell>
          <cell r="C65">
            <v>1208</v>
          </cell>
        </row>
        <row r="66">
          <cell r="A66" t="str">
            <v>89-301-2033</v>
          </cell>
          <cell r="B66" t="str">
            <v>Central OSP - Expansion: 72GB Disk</v>
          </cell>
          <cell r="C66">
            <v>310</v>
          </cell>
        </row>
        <row r="67">
          <cell r="A67" t="str">
            <v>89-301-2002</v>
          </cell>
          <cell r="B67" t="str">
            <v>Central OSP - Expansion: Enclosure</v>
          </cell>
          <cell r="C67">
            <v>2150</v>
          </cell>
        </row>
        <row r="68">
          <cell r="A68" t="str">
            <v>89-500-1006</v>
          </cell>
          <cell r="B68" t="str">
            <v>Premium Database Server</v>
          </cell>
          <cell r="C68">
            <v>5105</v>
          </cell>
        </row>
        <row r="69">
          <cell r="A69" t="str">
            <v>99-999-9994</v>
          </cell>
          <cell r="B69" t="str">
            <v xml:space="preserve">Storage Expansion: Raid controller </v>
          </cell>
          <cell r="C69">
            <v>583</v>
          </cell>
        </row>
        <row r="70">
          <cell r="A70" t="str">
            <v>89-600-1014</v>
          </cell>
          <cell r="B70" t="str">
            <v>Application Server</v>
          </cell>
          <cell r="C70">
            <v>4105</v>
          </cell>
        </row>
        <row r="71">
          <cell r="A71" t="str">
            <v>89-600-1013</v>
          </cell>
          <cell r="B71" t="str">
            <v>Application Server w/ Screen Recording</v>
          </cell>
          <cell r="C71">
            <v>5554</v>
          </cell>
        </row>
        <row r="72">
          <cell r="A72" t="str">
            <v>89-600-1012</v>
          </cell>
          <cell r="B72" t="str">
            <v>Application Server w/ Screen Recording (H/A)</v>
          </cell>
          <cell r="C72">
            <v>5554</v>
          </cell>
        </row>
        <row r="73">
          <cell r="A73" t="str">
            <v>89-800-1002</v>
          </cell>
          <cell r="B73" t="str">
            <v>Screen Acquisition Module</v>
          </cell>
          <cell r="C73">
            <v>4857</v>
          </cell>
        </row>
        <row r="74">
          <cell r="A74" t="str">
            <v>89-800-1001</v>
          </cell>
          <cell r="B74" t="str">
            <v>Screen Acquisition Module H/A</v>
          </cell>
          <cell r="C74">
            <v>5414</v>
          </cell>
        </row>
        <row r="75">
          <cell r="A75" t="str">
            <v>89-300-3001</v>
          </cell>
          <cell r="B75" t="str">
            <v>Screen AIT Tape Drive</v>
          </cell>
          <cell r="C75">
            <v>1208</v>
          </cell>
        </row>
        <row r="76">
          <cell r="A76" t="str">
            <v>89-600-1009</v>
          </cell>
          <cell r="B76" t="str">
            <v>Telephone Playback Server</v>
          </cell>
          <cell r="C76">
            <v>1387</v>
          </cell>
        </row>
        <row r="77">
          <cell r="A77" t="str">
            <v>89-600-2001</v>
          </cell>
          <cell r="B77" t="str">
            <v xml:space="preserve">Telephone Playback Card </v>
          </cell>
          <cell r="C77">
            <v>655</v>
          </cell>
        </row>
        <row r="78">
          <cell r="A78" t="str">
            <v>89-600-1011</v>
          </cell>
          <cell r="B78" t="str">
            <v>CTI Gateway Server</v>
          </cell>
          <cell r="C78">
            <v>8207</v>
          </cell>
        </row>
        <row r="79">
          <cell r="A79" t="str">
            <v>89-555-3005</v>
          </cell>
          <cell r="B79" t="str">
            <v>Actionable Intelligence for the Smarter Workforce</v>
          </cell>
          <cell r="C79">
            <v>10000</v>
          </cell>
        </row>
        <row r="80">
          <cell r="A80" t="str">
            <v>89-300-3001</v>
          </cell>
          <cell r="B80" t="str">
            <v>Central OpenStorage Portal Backup Tape</v>
          </cell>
          <cell r="C80">
            <v>1209</v>
          </cell>
        </row>
        <row r="81">
          <cell r="A81" t="str">
            <v>89-300-1005</v>
          </cell>
          <cell r="B81" t="str">
            <v>Central OpenStorage Portal</v>
          </cell>
          <cell r="C81">
            <v>5105</v>
          </cell>
        </row>
        <row r="82">
          <cell r="A82" t="str">
            <v>89-500-1007</v>
          </cell>
          <cell r="B82" t="str">
            <v>Universal Database</v>
          </cell>
          <cell r="C82">
            <v>5505</v>
          </cell>
        </row>
        <row r="83">
          <cell r="A83">
            <v>935300656</v>
          </cell>
          <cell r="B83" t="str">
            <v>IntelliMiner License</v>
          </cell>
          <cell r="C83">
            <v>300</v>
          </cell>
        </row>
        <row r="84">
          <cell r="A84">
            <v>140500183</v>
          </cell>
          <cell r="B84" t="str">
            <v>IntelliFind STT License</v>
          </cell>
          <cell r="C84">
            <v>710</v>
          </cell>
        </row>
        <row r="85">
          <cell r="A85">
            <v>140500185</v>
          </cell>
          <cell r="B85" t="str">
            <v>Mitel License</v>
          </cell>
          <cell r="C85">
            <v>23</v>
          </cell>
        </row>
        <row r="86">
          <cell r="A86" t="str">
            <v>14-170-0141</v>
          </cell>
          <cell r="B86" t="str">
            <v>Standard SQL Server Client Access License</v>
          </cell>
          <cell r="C86">
            <v>64</v>
          </cell>
        </row>
        <row r="87">
          <cell r="A87" t="str">
            <v>14-170-0142</v>
          </cell>
          <cell r="B87" t="str">
            <v>Standard SQL Server CPU License</v>
          </cell>
          <cell r="C87">
            <v>1758</v>
          </cell>
        </row>
        <row r="88">
          <cell r="A88" t="str">
            <v>14-170-0143</v>
          </cell>
          <cell r="B88" t="str">
            <v>Enterprise SQL Server Client Access License</v>
          </cell>
          <cell r="C88">
            <v>128</v>
          </cell>
        </row>
        <row r="89">
          <cell r="A89" t="str">
            <v>14-170-0144</v>
          </cell>
          <cell r="B89" t="str">
            <v>Enterprise SQL Server CPU License</v>
          </cell>
          <cell r="C89">
            <v>7573</v>
          </cell>
        </row>
        <row r="90">
          <cell r="A90" t="str">
            <v>14-170-0136</v>
          </cell>
          <cell r="B90" t="str">
            <v>PCAnywhere License</v>
          </cell>
          <cell r="C90">
            <v>31</v>
          </cell>
        </row>
        <row r="91">
          <cell r="A91" t="str">
            <v>14-050-0216</v>
          </cell>
          <cell r="B91" t="str">
            <v>Norton Anti Virus License</v>
          </cell>
          <cell r="C91">
            <v>134</v>
          </cell>
        </row>
      </sheetData>
      <sheetData sheetId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alog6"/>
      <sheetName val="Sheet1"/>
      <sheetName val="COSTS"/>
      <sheetName val="Dialog2"/>
      <sheetName val="Dialog1"/>
      <sheetName val="Dialog3"/>
      <sheetName val="DESCRIPTIONS"/>
      <sheetName val="OUTPUT"/>
      <sheetName val="Dialog5"/>
      <sheetName val="Dialog4"/>
      <sheetName val="Dialog7"/>
      <sheetName val="Dialog8"/>
      <sheetName val="Dialog9"/>
      <sheetName val="Dialog10"/>
      <sheetName val="MISC"/>
      <sheetName val="Dialog11"/>
      <sheetName val="CNF"/>
      <sheetName val="CTR"/>
      <sheetName val="OEM_I&amp;M"/>
      <sheetName val="Macro1"/>
      <sheetName val="COMCODE"/>
      <sheetName val="Macro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25">
          <cell r="D25" t="str">
            <v>CTR21</v>
          </cell>
        </row>
      </sheetData>
      <sheetData sheetId="17"/>
      <sheetData sheetId="18"/>
      <sheetData sheetId="19"/>
      <sheetData sheetId="20"/>
      <sheetData sheetId="2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BC Price Summary"/>
      <sheetName val="Parameters"/>
      <sheetName val="Configuration"/>
      <sheetName val="Configuration (2)"/>
    </sheetNames>
    <sheetDataSet>
      <sheetData sheetId="0"/>
      <sheetData sheetId="1">
        <row r="9">
          <cell r="B9" t="b">
            <v>0</v>
          </cell>
        </row>
        <row r="14">
          <cell r="B14" t="b">
            <v>0</v>
          </cell>
        </row>
      </sheetData>
      <sheetData sheetId="2"/>
      <sheetData sheetId="3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-SHEET"/>
      <sheetName val="TPEC-C8"/>
      <sheetName val="EXCEPTIONS"/>
      <sheetName val="INf-2&amp;SA"/>
      <sheetName val="Archive"/>
      <sheetName val="Dialogs"/>
      <sheetName val="Functions"/>
    </sheetNames>
    <sheetDataSet>
      <sheetData sheetId="0"/>
      <sheetData sheetId="1"/>
      <sheetData sheetId="2"/>
      <sheetData sheetId="3"/>
      <sheetData sheetId="4"/>
      <sheetData sheetId="5"/>
      <sheetData sheetId="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dt"/>
      <sheetName val="공사원가"/>
      <sheetName val="내역서집계표"/>
      <sheetName val="내역서99-4"/>
      <sheetName val="일위대가집계표"/>
      <sheetName val="정부노임단가"/>
      <sheetName val="단가조사서"/>
      <sheetName val="견적중기"/>
      <sheetName val="중기산출근거"/>
      <sheetName val="중기집계표"/>
      <sheetName val="중기계산"/>
      <sheetName val="주입율"/>
      <sheetName val="토공일위"/>
      <sheetName val="공통일위"/>
      <sheetName val="일반토목공통일위"/>
      <sheetName val="LW일위"/>
      <sheetName val="토공-토사"/>
      <sheetName val="풍화암굴착및상차"/>
      <sheetName val="토사운반및사토장정리"/>
      <sheetName val="풍화암운반및사토장정리"/>
      <sheetName val="가시-토사천공"/>
      <sheetName val="가시-풍화암천공"/>
      <sheetName val="가시-연암천공"/>
      <sheetName val="가시-파일박기(디젤햄머)"/>
      <sheetName val="가시-파일뽑기(진동햄머)"/>
      <sheetName val="가시-띠장설치및철거"/>
      <sheetName val="케이싱설치"/>
      <sheetName val="가시-토류판설치-버팀보"/>
      <sheetName val="가시-버팀보3"/>
      <sheetName val="가시-버팀보9"/>
      <sheetName val="RCD-장비운반"/>
      <sheetName val="RCD-STAND파일압입"/>
      <sheetName val="RCD-장비이동및거치"/>
      <sheetName val="RCD-굴착(풍화암)"/>
      <sheetName val="RCD-굴착(기반암)"/>
      <sheetName val="RCD-슬라임처리"/>
      <sheetName val="RCD-말뚝조성공"/>
      <sheetName val="RCD-두부정리"/>
      <sheetName val="어스앵카-천공(토사)"/>
      <sheetName val="어스앵카-천공(풍화암)"/>
      <sheetName val="어스앵카-천공(연암)"/>
      <sheetName val="어스앵커-pc강선"/>
      <sheetName val="어스앵커-그라우팅"/>
      <sheetName val="어스앵커-pc콘"/>
      <sheetName val="이토상차및운반"/>
      <sheetName val="SCW-파일건입(디젤햄머)"/>
      <sheetName val="RCD-STRAND PILE 압입및굴착"/>
      <sheetName val="부대공-강재운반1"/>
      <sheetName val="철근운반"/>
      <sheetName val="부대공-시멘트운반"/>
      <sheetName val="혼합골재포설및다짐"/>
      <sheetName val="노체다짐"/>
      <sheetName val="노상다짐"/>
      <sheetName val="보조기층포설"/>
      <sheetName val="아스콘기층포장"/>
      <sheetName val="아스콘표층포장"/>
      <sheetName val="프라임코팅포설"/>
      <sheetName val="텍코팅포설"/>
      <sheetName val="24"/>
      <sheetName val="가시-쓰암천공"/>
    </sheetNames>
    <sheetDataSet>
      <sheetData sheetId="0" refreshError="1"/>
      <sheetData sheetId="1"/>
      <sheetData sheetId="2"/>
      <sheetData sheetId="3"/>
      <sheetData sheetId="4"/>
      <sheetData sheetId="5" refreshError="1">
        <row r="5">
          <cell r="D5" t="str">
            <v>(발표일:99.1.1)</v>
          </cell>
          <cell r="E5" t="str">
            <v>(발표일:98.9.1)</v>
          </cell>
          <cell r="F5" t="str">
            <v>(발표일:98.1.1)</v>
          </cell>
        </row>
        <row r="6">
          <cell r="A6" t="str">
            <v>L001</v>
          </cell>
          <cell r="B6" t="str">
            <v>갱    부</v>
          </cell>
          <cell r="C6" t="str">
            <v>인</v>
          </cell>
          <cell r="D6">
            <v>46995</v>
          </cell>
          <cell r="E6">
            <v>50308</v>
          </cell>
          <cell r="F6">
            <v>56352</v>
          </cell>
        </row>
        <row r="7">
          <cell r="A7" t="str">
            <v>L002</v>
          </cell>
          <cell r="B7" t="str">
            <v>도 목 수</v>
          </cell>
          <cell r="C7" t="str">
            <v>인</v>
          </cell>
          <cell r="D7">
            <v>0</v>
          </cell>
          <cell r="E7">
            <v>0</v>
          </cell>
          <cell r="F7">
            <v>81068</v>
          </cell>
        </row>
        <row r="8">
          <cell r="A8" t="str">
            <v>L003</v>
          </cell>
          <cell r="B8" t="str">
            <v>건축목공</v>
          </cell>
          <cell r="C8" t="str">
            <v>인</v>
          </cell>
          <cell r="D8">
            <v>62310</v>
          </cell>
          <cell r="E8">
            <v>65713</v>
          </cell>
          <cell r="F8">
            <v>71803</v>
          </cell>
        </row>
        <row r="9">
          <cell r="A9" t="str">
            <v>L004</v>
          </cell>
          <cell r="B9" t="str">
            <v>형틀목공</v>
          </cell>
          <cell r="C9" t="str">
            <v>인</v>
          </cell>
          <cell r="D9">
            <v>62603</v>
          </cell>
          <cell r="E9">
            <v>65381</v>
          </cell>
          <cell r="F9">
            <v>75306</v>
          </cell>
        </row>
        <row r="10">
          <cell r="A10" t="str">
            <v>L005</v>
          </cell>
          <cell r="B10" t="str">
            <v>창호목공</v>
          </cell>
          <cell r="C10" t="str">
            <v>인</v>
          </cell>
          <cell r="D10">
            <v>56563</v>
          </cell>
          <cell r="E10">
            <v>61043</v>
          </cell>
          <cell r="F10">
            <v>66162</v>
          </cell>
        </row>
        <row r="11">
          <cell r="A11" t="str">
            <v>L006</v>
          </cell>
          <cell r="B11" t="str">
            <v>철 골 공</v>
          </cell>
          <cell r="C11" t="str">
            <v>인</v>
          </cell>
          <cell r="D11">
            <v>60500</v>
          </cell>
          <cell r="E11">
            <v>64796</v>
          </cell>
          <cell r="F11">
            <v>73514</v>
          </cell>
        </row>
        <row r="12">
          <cell r="A12" t="str">
            <v>L007</v>
          </cell>
          <cell r="B12" t="str">
            <v>철    공</v>
          </cell>
          <cell r="C12" t="str">
            <v>인</v>
          </cell>
          <cell r="D12">
            <v>59797</v>
          </cell>
          <cell r="E12">
            <v>59917</v>
          </cell>
          <cell r="F12">
            <v>72430</v>
          </cell>
        </row>
        <row r="13">
          <cell r="A13" t="str">
            <v>L008</v>
          </cell>
          <cell r="B13" t="str">
            <v>철 근 공</v>
          </cell>
          <cell r="C13" t="str">
            <v>인</v>
          </cell>
          <cell r="D13">
            <v>65147</v>
          </cell>
          <cell r="E13">
            <v>66944</v>
          </cell>
          <cell r="F13">
            <v>77839</v>
          </cell>
        </row>
        <row r="14">
          <cell r="A14" t="str">
            <v>L009</v>
          </cell>
          <cell r="B14" t="str">
            <v>철 판 공</v>
          </cell>
          <cell r="C14" t="str">
            <v>인</v>
          </cell>
          <cell r="D14">
            <v>61774</v>
          </cell>
          <cell r="E14">
            <v>68465</v>
          </cell>
          <cell r="F14">
            <v>73217</v>
          </cell>
        </row>
        <row r="15">
          <cell r="A15" t="str">
            <v>L010</v>
          </cell>
          <cell r="B15" t="str">
            <v>셧 터 공</v>
          </cell>
          <cell r="C15" t="str">
            <v>인</v>
          </cell>
          <cell r="D15">
            <v>55318</v>
          </cell>
          <cell r="E15">
            <v>58035</v>
          </cell>
          <cell r="F15">
            <v>64659</v>
          </cell>
        </row>
        <row r="16">
          <cell r="A16" t="str">
            <v>L011</v>
          </cell>
          <cell r="B16" t="str">
            <v>샷 시 공</v>
          </cell>
          <cell r="C16" t="str">
            <v>인</v>
          </cell>
          <cell r="D16">
            <v>55318</v>
          </cell>
          <cell r="E16">
            <v>58035</v>
          </cell>
          <cell r="F16">
            <v>65647</v>
          </cell>
        </row>
        <row r="17">
          <cell r="A17" t="str">
            <v>L012</v>
          </cell>
          <cell r="B17" t="str">
            <v>절 단 공</v>
          </cell>
          <cell r="C17" t="str">
            <v>인</v>
          </cell>
          <cell r="D17">
            <v>59642</v>
          </cell>
          <cell r="E17">
            <v>67321</v>
          </cell>
          <cell r="F17">
            <v>65881</v>
          </cell>
        </row>
        <row r="18">
          <cell r="A18" t="str">
            <v>L013</v>
          </cell>
          <cell r="B18" t="str">
            <v>석    공</v>
          </cell>
          <cell r="C18" t="str">
            <v>인</v>
          </cell>
          <cell r="D18">
            <v>69257</v>
          </cell>
          <cell r="E18">
            <v>67292</v>
          </cell>
          <cell r="F18">
            <v>77005</v>
          </cell>
        </row>
        <row r="19">
          <cell r="A19" t="str">
            <v>L014</v>
          </cell>
          <cell r="B19" t="str">
            <v>특수비계공(15M이상)</v>
          </cell>
          <cell r="C19" t="str">
            <v>인</v>
          </cell>
          <cell r="D19">
            <v>78766</v>
          </cell>
          <cell r="E19">
            <v>75380</v>
          </cell>
          <cell r="F19">
            <v>85884</v>
          </cell>
        </row>
        <row r="20">
          <cell r="A20" t="str">
            <v>L015</v>
          </cell>
          <cell r="B20" t="str">
            <v>비 계 공</v>
          </cell>
          <cell r="C20" t="str">
            <v>인</v>
          </cell>
          <cell r="D20">
            <v>66531</v>
          </cell>
          <cell r="E20">
            <v>69324</v>
          </cell>
          <cell r="F20">
            <v>79467</v>
          </cell>
        </row>
        <row r="21">
          <cell r="A21" t="str">
            <v>L016</v>
          </cell>
          <cell r="B21" t="str">
            <v>동 발 공(터 널)</v>
          </cell>
          <cell r="C21" t="str">
            <v>인</v>
          </cell>
          <cell r="D21">
            <v>61285</v>
          </cell>
          <cell r="E21">
            <v>59691</v>
          </cell>
          <cell r="F21">
            <v>65485</v>
          </cell>
        </row>
        <row r="22">
          <cell r="A22" t="str">
            <v>L017</v>
          </cell>
          <cell r="B22" t="str">
            <v>조 적 공</v>
          </cell>
          <cell r="C22" t="str">
            <v>인</v>
          </cell>
          <cell r="D22">
            <v>58512</v>
          </cell>
          <cell r="E22">
            <v>58379</v>
          </cell>
          <cell r="F22">
            <v>67986</v>
          </cell>
        </row>
        <row r="23">
          <cell r="A23" t="str">
            <v>L018</v>
          </cell>
          <cell r="B23" t="str">
            <v>벽돌(블럭)제작공</v>
          </cell>
          <cell r="C23" t="str">
            <v>인</v>
          </cell>
          <cell r="D23">
            <v>56942</v>
          </cell>
          <cell r="E23">
            <v>57334</v>
          </cell>
          <cell r="F23">
            <v>61291</v>
          </cell>
        </row>
        <row r="24">
          <cell r="A24" t="str">
            <v>L019</v>
          </cell>
          <cell r="B24" t="str">
            <v>연 돌 공</v>
          </cell>
          <cell r="C24" t="str">
            <v>인</v>
          </cell>
          <cell r="D24">
            <v>58512</v>
          </cell>
          <cell r="E24">
            <v>58379</v>
          </cell>
          <cell r="F24">
            <v>72745</v>
          </cell>
        </row>
        <row r="25">
          <cell r="A25" t="str">
            <v>L020</v>
          </cell>
          <cell r="B25" t="str">
            <v>미 장 공</v>
          </cell>
          <cell r="C25" t="str">
            <v>인</v>
          </cell>
          <cell r="D25">
            <v>59451</v>
          </cell>
          <cell r="E25">
            <v>61569</v>
          </cell>
          <cell r="F25">
            <v>71283</v>
          </cell>
        </row>
        <row r="26">
          <cell r="A26" t="str">
            <v>L021</v>
          </cell>
          <cell r="B26" t="str">
            <v>방 수 공</v>
          </cell>
          <cell r="C26" t="str">
            <v>인</v>
          </cell>
          <cell r="D26">
            <v>50866</v>
          </cell>
          <cell r="E26">
            <v>51640</v>
          </cell>
          <cell r="F26">
            <v>57701</v>
          </cell>
        </row>
        <row r="27">
          <cell r="A27" t="str">
            <v>L022</v>
          </cell>
          <cell r="B27" t="str">
            <v>타 일 공</v>
          </cell>
          <cell r="C27" t="str">
            <v>인</v>
          </cell>
          <cell r="D27">
            <v>58994</v>
          </cell>
          <cell r="E27">
            <v>60706</v>
          </cell>
          <cell r="F27">
            <v>68147</v>
          </cell>
        </row>
        <row r="28">
          <cell r="A28" t="str">
            <v>L023</v>
          </cell>
          <cell r="B28" t="str">
            <v>줄 눈 공</v>
          </cell>
          <cell r="C28" t="str">
            <v>인</v>
          </cell>
          <cell r="D28">
            <v>58172</v>
          </cell>
          <cell r="E28">
            <v>55387</v>
          </cell>
          <cell r="F28">
            <v>63589</v>
          </cell>
        </row>
        <row r="29">
          <cell r="A29" t="str">
            <v>L024</v>
          </cell>
          <cell r="B29" t="str">
            <v>연 마 공</v>
          </cell>
          <cell r="C29" t="str">
            <v>인</v>
          </cell>
          <cell r="D29">
            <v>56709</v>
          </cell>
          <cell r="E29">
            <v>54957</v>
          </cell>
          <cell r="F29">
            <v>67289</v>
          </cell>
        </row>
        <row r="30">
          <cell r="A30" t="str">
            <v>L025</v>
          </cell>
          <cell r="B30" t="str">
            <v>콘크리트공</v>
          </cell>
          <cell r="C30" t="str">
            <v>인</v>
          </cell>
          <cell r="D30">
            <v>60596</v>
          </cell>
          <cell r="E30">
            <v>63605</v>
          </cell>
          <cell r="F30">
            <v>71184</v>
          </cell>
        </row>
        <row r="31">
          <cell r="A31" t="str">
            <v>L026</v>
          </cell>
          <cell r="B31" t="str">
            <v>바이브레타공</v>
          </cell>
          <cell r="C31" t="str">
            <v>인</v>
          </cell>
          <cell r="D31">
            <v>60596</v>
          </cell>
          <cell r="E31">
            <v>63605</v>
          </cell>
          <cell r="F31">
            <v>69081</v>
          </cell>
        </row>
        <row r="32">
          <cell r="A32" t="str">
            <v>L027</v>
          </cell>
          <cell r="B32" t="str">
            <v>보일러공</v>
          </cell>
          <cell r="C32" t="str">
            <v>인</v>
          </cell>
          <cell r="D32">
            <v>48190</v>
          </cell>
          <cell r="E32">
            <v>52463</v>
          </cell>
          <cell r="F32">
            <v>56787</v>
          </cell>
        </row>
        <row r="33">
          <cell r="A33" t="str">
            <v>L028</v>
          </cell>
          <cell r="B33" t="str">
            <v>배 관 공</v>
          </cell>
          <cell r="C33" t="str">
            <v>인</v>
          </cell>
          <cell r="D33">
            <v>48833</v>
          </cell>
          <cell r="E33">
            <v>52004</v>
          </cell>
          <cell r="F33">
            <v>58907</v>
          </cell>
        </row>
        <row r="34">
          <cell r="A34" t="str">
            <v>L029</v>
          </cell>
          <cell r="B34" t="str">
            <v>온 돌 공</v>
          </cell>
          <cell r="C34" t="str">
            <v>인</v>
          </cell>
          <cell r="D34">
            <v>59451</v>
          </cell>
          <cell r="E34">
            <v>61569</v>
          </cell>
          <cell r="F34">
            <v>54720</v>
          </cell>
        </row>
        <row r="35">
          <cell r="A35" t="str">
            <v>L030</v>
          </cell>
          <cell r="B35" t="str">
            <v>위 생 공</v>
          </cell>
          <cell r="C35" t="str">
            <v>인</v>
          </cell>
          <cell r="D35">
            <v>48855</v>
          </cell>
          <cell r="E35">
            <v>51145</v>
          </cell>
          <cell r="F35">
            <v>59212</v>
          </cell>
        </row>
        <row r="36">
          <cell r="A36" t="str">
            <v>L031</v>
          </cell>
          <cell r="B36" t="str">
            <v>보 온 공</v>
          </cell>
          <cell r="C36" t="str">
            <v>인</v>
          </cell>
          <cell r="D36">
            <v>49987</v>
          </cell>
          <cell r="E36">
            <v>54125</v>
          </cell>
          <cell r="F36">
            <v>63143</v>
          </cell>
        </row>
        <row r="37">
          <cell r="A37" t="str">
            <v>L032</v>
          </cell>
          <cell r="B37" t="str">
            <v>도 장 공</v>
          </cell>
          <cell r="C37" t="str">
            <v>인</v>
          </cell>
          <cell r="D37">
            <v>52915</v>
          </cell>
          <cell r="E37">
            <v>55640</v>
          </cell>
          <cell r="F37">
            <v>63038</v>
          </cell>
        </row>
        <row r="38">
          <cell r="A38" t="str">
            <v>L033</v>
          </cell>
          <cell r="B38" t="str">
            <v>내 장 공</v>
          </cell>
          <cell r="C38" t="str">
            <v>인</v>
          </cell>
          <cell r="D38">
            <v>58768</v>
          </cell>
          <cell r="E38">
            <v>59767</v>
          </cell>
          <cell r="F38">
            <v>72244</v>
          </cell>
        </row>
        <row r="39">
          <cell r="A39" t="str">
            <v>L034</v>
          </cell>
          <cell r="B39" t="str">
            <v>도 배 공</v>
          </cell>
          <cell r="C39" t="str">
            <v>인</v>
          </cell>
          <cell r="D39">
            <v>51632</v>
          </cell>
          <cell r="E39">
            <v>51201</v>
          </cell>
          <cell r="F39">
            <v>58443</v>
          </cell>
        </row>
        <row r="40">
          <cell r="A40" t="str">
            <v>L035</v>
          </cell>
          <cell r="B40" t="str">
            <v>아스타일공</v>
          </cell>
          <cell r="C40" t="str">
            <v>인</v>
          </cell>
          <cell r="D40">
            <v>58994</v>
          </cell>
          <cell r="E40">
            <v>60706</v>
          </cell>
          <cell r="F40">
            <v>71686</v>
          </cell>
        </row>
        <row r="41">
          <cell r="A41" t="str">
            <v>L036</v>
          </cell>
          <cell r="B41" t="str">
            <v>기 와 공</v>
          </cell>
          <cell r="C41" t="str">
            <v>인</v>
          </cell>
          <cell r="D41">
            <v>68363</v>
          </cell>
          <cell r="E41">
            <v>64891</v>
          </cell>
          <cell r="F41">
            <v>69476</v>
          </cell>
        </row>
        <row r="42">
          <cell r="A42" t="str">
            <v>L037</v>
          </cell>
          <cell r="B42" t="str">
            <v>슬레이트공</v>
          </cell>
          <cell r="C42" t="str">
            <v>인</v>
          </cell>
          <cell r="D42">
            <v>68363</v>
          </cell>
          <cell r="E42">
            <v>64891</v>
          </cell>
          <cell r="F42">
            <v>72727</v>
          </cell>
        </row>
        <row r="43">
          <cell r="A43" t="str">
            <v>L038</v>
          </cell>
          <cell r="B43" t="str">
            <v>화약취급공</v>
          </cell>
          <cell r="C43" t="str">
            <v>인</v>
          </cell>
          <cell r="D43">
            <v>67520</v>
          </cell>
          <cell r="E43">
            <v>60578</v>
          </cell>
          <cell r="F43">
            <v>69595</v>
          </cell>
        </row>
        <row r="44">
          <cell r="A44" t="str">
            <v>L039</v>
          </cell>
          <cell r="B44" t="str">
            <v>착 암 공</v>
          </cell>
          <cell r="C44" t="str">
            <v>인</v>
          </cell>
          <cell r="D44">
            <v>50107</v>
          </cell>
          <cell r="E44">
            <v>54279</v>
          </cell>
          <cell r="F44">
            <v>57292</v>
          </cell>
        </row>
        <row r="45">
          <cell r="A45" t="str">
            <v>L040</v>
          </cell>
          <cell r="B45" t="str">
            <v>보 안 공</v>
          </cell>
          <cell r="C45" t="str">
            <v>인</v>
          </cell>
          <cell r="D45">
            <v>41224</v>
          </cell>
          <cell r="E45">
            <v>44036</v>
          </cell>
          <cell r="F45">
            <v>41290</v>
          </cell>
        </row>
        <row r="46">
          <cell r="A46" t="str">
            <v>L041</v>
          </cell>
          <cell r="B46" t="str">
            <v>포 장 공</v>
          </cell>
          <cell r="C46" t="str">
            <v>인</v>
          </cell>
          <cell r="D46">
            <v>59695</v>
          </cell>
          <cell r="E46">
            <v>56237</v>
          </cell>
          <cell r="F46">
            <v>65494</v>
          </cell>
        </row>
        <row r="47">
          <cell r="A47" t="str">
            <v>L042</v>
          </cell>
          <cell r="B47" t="str">
            <v>포 설 공</v>
          </cell>
          <cell r="C47" t="str">
            <v>인</v>
          </cell>
          <cell r="D47">
            <v>53731</v>
          </cell>
          <cell r="E47">
            <v>54013</v>
          </cell>
          <cell r="F47">
            <v>65082</v>
          </cell>
        </row>
        <row r="48">
          <cell r="A48" t="str">
            <v>L043</v>
          </cell>
          <cell r="B48" t="str">
            <v>궤 도 공</v>
          </cell>
          <cell r="C48" t="str">
            <v>인</v>
          </cell>
          <cell r="D48">
            <v>53629</v>
          </cell>
          <cell r="E48">
            <v>62818</v>
          </cell>
          <cell r="F48">
            <v>60000</v>
          </cell>
        </row>
        <row r="49">
          <cell r="A49" t="str">
            <v>L044</v>
          </cell>
          <cell r="B49" t="str">
            <v>용 접 공(철 도)</v>
          </cell>
          <cell r="C49" t="str">
            <v>인</v>
          </cell>
          <cell r="D49">
            <v>58661</v>
          </cell>
          <cell r="E49">
            <v>55736</v>
          </cell>
          <cell r="F49">
            <v>67201</v>
          </cell>
        </row>
        <row r="50">
          <cell r="A50" t="str">
            <v>L045</v>
          </cell>
          <cell r="B50" t="str">
            <v>잠 수 부</v>
          </cell>
          <cell r="C50" t="str">
            <v>인</v>
          </cell>
          <cell r="D50">
            <v>87712</v>
          </cell>
          <cell r="E50">
            <v>73901</v>
          </cell>
          <cell r="F50">
            <v>81832</v>
          </cell>
        </row>
        <row r="51">
          <cell r="A51" t="str">
            <v>L046</v>
          </cell>
          <cell r="B51" t="str">
            <v>잠 함 공</v>
          </cell>
          <cell r="C51" t="str">
            <v>인</v>
          </cell>
          <cell r="D51">
            <v>0</v>
          </cell>
          <cell r="E51">
            <v>0</v>
          </cell>
          <cell r="F51">
            <v>0</v>
          </cell>
        </row>
        <row r="52">
          <cell r="A52" t="str">
            <v>L047</v>
          </cell>
          <cell r="B52" t="str">
            <v>보 링 공</v>
          </cell>
          <cell r="C52" t="str">
            <v>인</v>
          </cell>
          <cell r="D52">
            <v>50288</v>
          </cell>
          <cell r="E52">
            <v>53721</v>
          </cell>
          <cell r="F52">
            <v>58626</v>
          </cell>
        </row>
        <row r="53">
          <cell r="A53" t="str">
            <v>L049</v>
          </cell>
          <cell r="B53" t="str">
            <v>영림기사</v>
          </cell>
          <cell r="C53" t="str">
            <v>인</v>
          </cell>
          <cell r="D53">
            <v>0</v>
          </cell>
          <cell r="E53">
            <v>0</v>
          </cell>
          <cell r="F53">
            <v>72675</v>
          </cell>
        </row>
        <row r="54">
          <cell r="A54" t="str">
            <v>L050</v>
          </cell>
          <cell r="B54" t="str">
            <v>조 경 공</v>
          </cell>
          <cell r="C54" t="str">
            <v>인</v>
          </cell>
          <cell r="D54">
            <v>50250</v>
          </cell>
          <cell r="E54">
            <v>50321</v>
          </cell>
          <cell r="F54">
            <v>60207</v>
          </cell>
        </row>
        <row r="55">
          <cell r="A55" t="str">
            <v>L051</v>
          </cell>
          <cell r="B55" t="str">
            <v>벌 목 부</v>
          </cell>
          <cell r="C55" t="str">
            <v>인</v>
          </cell>
          <cell r="D55">
            <v>57718</v>
          </cell>
          <cell r="E55">
            <v>64902</v>
          </cell>
          <cell r="F55">
            <v>66433</v>
          </cell>
        </row>
        <row r="56">
          <cell r="A56" t="str">
            <v>L052</v>
          </cell>
          <cell r="B56" t="str">
            <v>조림인부</v>
          </cell>
          <cell r="C56" t="str">
            <v>인</v>
          </cell>
          <cell r="D56">
            <v>43854</v>
          </cell>
          <cell r="E56">
            <v>32014</v>
          </cell>
          <cell r="F56">
            <v>53688</v>
          </cell>
        </row>
        <row r="57">
          <cell r="A57" t="str">
            <v>L053</v>
          </cell>
          <cell r="B57" t="str">
            <v>플랜트 기계설치공</v>
          </cell>
          <cell r="C57" t="str">
            <v>인</v>
          </cell>
          <cell r="D57">
            <v>59903</v>
          </cell>
          <cell r="E57">
            <v>61521</v>
          </cell>
          <cell r="F57">
            <v>80805</v>
          </cell>
        </row>
        <row r="58">
          <cell r="A58" t="str">
            <v>L054</v>
          </cell>
          <cell r="B58" t="str">
            <v>플랜트 용접공</v>
          </cell>
          <cell r="C58" t="str">
            <v>인</v>
          </cell>
          <cell r="D58">
            <v>63349</v>
          </cell>
          <cell r="E58">
            <v>69101</v>
          </cell>
          <cell r="F58">
            <v>95379</v>
          </cell>
        </row>
        <row r="59">
          <cell r="A59" t="str">
            <v>L055</v>
          </cell>
          <cell r="B59" t="str">
            <v>플랜트 배관공</v>
          </cell>
          <cell r="C59" t="str">
            <v>인</v>
          </cell>
          <cell r="D59">
            <v>66377</v>
          </cell>
          <cell r="E59">
            <v>76135</v>
          </cell>
          <cell r="F59">
            <v>97219</v>
          </cell>
        </row>
        <row r="60">
          <cell r="A60" t="str">
            <v>L056</v>
          </cell>
          <cell r="B60" t="str">
            <v>플랜트 제관공</v>
          </cell>
          <cell r="C60" t="str">
            <v>인</v>
          </cell>
          <cell r="D60">
            <v>54813</v>
          </cell>
          <cell r="E60">
            <v>60834</v>
          </cell>
          <cell r="F60">
            <v>81966</v>
          </cell>
        </row>
        <row r="61">
          <cell r="A61" t="str">
            <v>L057</v>
          </cell>
          <cell r="B61" t="str">
            <v>시공측량사</v>
          </cell>
          <cell r="C61" t="str">
            <v>인</v>
          </cell>
          <cell r="D61">
            <v>44848</v>
          </cell>
          <cell r="E61">
            <v>47571</v>
          </cell>
          <cell r="F61">
            <v>58506</v>
          </cell>
        </row>
        <row r="62">
          <cell r="A62" t="str">
            <v>L058</v>
          </cell>
          <cell r="B62" t="str">
            <v>시공측량사조수</v>
          </cell>
          <cell r="C62" t="str">
            <v>인</v>
          </cell>
          <cell r="D62">
            <v>33985</v>
          </cell>
          <cell r="E62">
            <v>32619</v>
          </cell>
          <cell r="F62">
            <v>38777</v>
          </cell>
        </row>
        <row r="63">
          <cell r="A63" t="str">
            <v>L059</v>
          </cell>
          <cell r="B63" t="str">
            <v>측    부</v>
          </cell>
          <cell r="C63" t="str">
            <v>인</v>
          </cell>
          <cell r="D63">
            <v>26699</v>
          </cell>
          <cell r="E63">
            <v>32690</v>
          </cell>
          <cell r="F63">
            <v>32725</v>
          </cell>
        </row>
        <row r="64">
          <cell r="A64" t="str">
            <v>L060</v>
          </cell>
          <cell r="B64" t="str">
            <v>검 조 부</v>
          </cell>
          <cell r="C64" t="str">
            <v>인</v>
          </cell>
          <cell r="D64">
            <v>33755</v>
          </cell>
          <cell r="E64">
            <v>34098</v>
          </cell>
          <cell r="F64">
            <v>32800</v>
          </cell>
        </row>
        <row r="65">
          <cell r="A65" t="str">
            <v>L061</v>
          </cell>
          <cell r="B65" t="str">
            <v>송전전공</v>
          </cell>
          <cell r="C65" t="str">
            <v>인</v>
          </cell>
          <cell r="D65">
            <v>197482</v>
          </cell>
          <cell r="E65">
            <v>188956</v>
          </cell>
          <cell r="F65">
            <v>234733</v>
          </cell>
        </row>
        <row r="66">
          <cell r="A66" t="str">
            <v>L062</v>
          </cell>
          <cell r="B66" t="str">
            <v>배전전공</v>
          </cell>
          <cell r="C66" t="str">
            <v>인</v>
          </cell>
          <cell r="D66">
            <v>176615</v>
          </cell>
          <cell r="E66">
            <v>164094</v>
          </cell>
          <cell r="F66">
            <v>192602</v>
          </cell>
        </row>
        <row r="67">
          <cell r="A67" t="str">
            <v>L063</v>
          </cell>
          <cell r="B67" t="str">
            <v>플랜트 전공</v>
          </cell>
          <cell r="C67" t="str">
            <v>인</v>
          </cell>
          <cell r="D67">
            <v>52369</v>
          </cell>
          <cell r="E67">
            <v>54503</v>
          </cell>
          <cell r="F67">
            <v>64285</v>
          </cell>
        </row>
        <row r="68">
          <cell r="A68" t="str">
            <v>L064</v>
          </cell>
          <cell r="B68" t="str">
            <v>내선전공</v>
          </cell>
          <cell r="C68" t="str">
            <v>인</v>
          </cell>
          <cell r="D68">
            <v>47911</v>
          </cell>
          <cell r="E68">
            <v>51021</v>
          </cell>
          <cell r="F68">
            <v>57286</v>
          </cell>
        </row>
        <row r="69">
          <cell r="A69" t="str">
            <v>L065</v>
          </cell>
          <cell r="B69" t="str">
            <v>특별고압케이블전공</v>
          </cell>
          <cell r="C69" t="str">
            <v>인</v>
          </cell>
          <cell r="D69">
            <v>97565</v>
          </cell>
          <cell r="E69">
            <v>102881</v>
          </cell>
          <cell r="F69">
            <v>98463</v>
          </cell>
        </row>
        <row r="70">
          <cell r="A70" t="str">
            <v>L066</v>
          </cell>
          <cell r="B70" t="str">
            <v>고압케이블전공</v>
          </cell>
          <cell r="C70" t="str">
            <v>인</v>
          </cell>
          <cell r="D70">
            <v>66547</v>
          </cell>
          <cell r="E70">
            <v>74151</v>
          </cell>
          <cell r="F70">
            <v>74584</v>
          </cell>
        </row>
        <row r="71">
          <cell r="A71" t="str">
            <v>L067</v>
          </cell>
          <cell r="B71" t="str">
            <v>저압케이블전공</v>
          </cell>
          <cell r="C71" t="str">
            <v>인</v>
          </cell>
          <cell r="D71">
            <v>59146</v>
          </cell>
          <cell r="E71">
            <v>55486</v>
          </cell>
          <cell r="F71">
            <v>61877</v>
          </cell>
        </row>
        <row r="72">
          <cell r="A72" t="str">
            <v>L068</v>
          </cell>
          <cell r="B72" t="str">
            <v>철도신호공</v>
          </cell>
          <cell r="C72" t="str">
            <v>인</v>
          </cell>
          <cell r="D72">
            <v>79766</v>
          </cell>
          <cell r="E72">
            <v>73483</v>
          </cell>
          <cell r="F72">
            <v>88167</v>
          </cell>
        </row>
        <row r="73">
          <cell r="A73" t="str">
            <v>L069</v>
          </cell>
          <cell r="B73" t="str">
            <v>계 장 공</v>
          </cell>
          <cell r="C73" t="str">
            <v>인</v>
          </cell>
          <cell r="D73">
            <v>50009</v>
          </cell>
          <cell r="E73">
            <v>57587</v>
          </cell>
          <cell r="F73">
            <v>60822</v>
          </cell>
        </row>
        <row r="74">
          <cell r="A74" t="str">
            <v>L070</v>
          </cell>
          <cell r="B74" t="str">
            <v>전기공사기사 1급</v>
          </cell>
          <cell r="C74" t="str">
            <v>인</v>
          </cell>
          <cell r="D74">
            <v>0</v>
          </cell>
          <cell r="E74">
            <v>0</v>
          </cell>
          <cell r="F74">
            <v>64241</v>
          </cell>
        </row>
        <row r="75">
          <cell r="A75" t="str">
            <v>L071</v>
          </cell>
          <cell r="B75" t="str">
            <v>전기공사기사 2급</v>
          </cell>
          <cell r="C75" t="str">
            <v>인</v>
          </cell>
          <cell r="D75">
            <v>0</v>
          </cell>
          <cell r="E75">
            <v>0</v>
          </cell>
          <cell r="F75">
            <v>55069</v>
          </cell>
        </row>
        <row r="76">
          <cell r="A76" t="str">
            <v>L072</v>
          </cell>
          <cell r="B76" t="str">
            <v>통신외선공</v>
          </cell>
          <cell r="C76" t="str">
            <v>인</v>
          </cell>
          <cell r="D76">
            <v>73980</v>
          </cell>
          <cell r="E76">
            <v>77946</v>
          </cell>
          <cell r="F76">
            <v>89013</v>
          </cell>
        </row>
        <row r="77">
          <cell r="A77" t="str">
            <v>L073</v>
          </cell>
          <cell r="B77" t="str">
            <v>통신설비공</v>
          </cell>
          <cell r="C77" t="str">
            <v>인</v>
          </cell>
          <cell r="D77">
            <v>64758</v>
          </cell>
          <cell r="E77">
            <v>66296</v>
          </cell>
          <cell r="F77">
            <v>76852</v>
          </cell>
        </row>
        <row r="78">
          <cell r="A78" t="str">
            <v>L074</v>
          </cell>
          <cell r="B78" t="str">
            <v>통신내선공</v>
          </cell>
          <cell r="C78" t="str">
            <v>인</v>
          </cell>
          <cell r="D78">
            <v>60168</v>
          </cell>
          <cell r="E78">
            <v>63738</v>
          </cell>
          <cell r="F78">
            <v>72591</v>
          </cell>
        </row>
        <row r="79">
          <cell r="A79" t="str">
            <v>L075</v>
          </cell>
          <cell r="B79" t="str">
            <v>통신케이블공</v>
          </cell>
          <cell r="C79" t="str">
            <v>인</v>
          </cell>
          <cell r="D79">
            <v>75788</v>
          </cell>
          <cell r="E79">
            <v>80042</v>
          </cell>
          <cell r="F79">
            <v>90455</v>
          </cell>
        </row>
        <row r="80">
          <cell r="A80" t="str">
            <v>L076</v>
          </cell>
          <cell r="B80" t="str">
            <v>무선안테나공</v>
          </cell>
          <cell r="C80" t="str">
            <v>인</v>
          </cell>
          <cell r="D80">
            <v>91475</v>
          </cell>
          <cell r="E80">
            <v>97216</v>
          </cell>
          <cell r="F80">
            <v>110956</v>
          </cell>
        </row>
        <row r="81">
          <cell r="A81" t="str">
            <v>L077</v>
          </cell>
          <cell r="B81" t="str">
            <v>통신기사 1급</v>
          </cell>
          <cell r="C81" t="str">
            <v>인</v>
          </cell>
          <cell r="D81">
            <v>84229</v>
          </cell>
          <cell r="E81">
            <v>87004</v>
          </cell>
          <cell r="F81">
            <v>92723</v>
          </cell>
        </row>
        <row r="82">
          <cell r="A82" t="str">
            <v>L078</v>
          </cell>
          <cell r="B82" t="str">
            <v>통신기사 2급</v>
          </cell>
          <cell r="C82" t="str">
            <v>인</v>
          </cell>
          <cell r="D82">
            <v>79642</v>
          </cell>
          <cell r="E82">
            <v>78519</v>
          </cell>
          <cell r="F82">
            <v>82395</v>
          </cell>
        </row>
        <row r="83">
          <cell r="A83" t="str">
            <v>L079</v>
          </cell>
          <cell r="B83" t="str">
            <v>통신기능사</v>
          </cell>
          <cell r="C83" t="str">
            <v>인</v>
          </cell>
          <cell r="D83">
            <v>67759</v>
          </cell>
          <cell r="E83">
            <v>68332</v>
          </cell>
          <cell r="F83">
            <v>72194</v>
          </cell>
        </row>
        <row r="84">
          <cell r="A84" t="str">
            <v>L080</v>
          </cell>
          <cell r="B84" t="str">
            <v>수작업반장</v>
          </cell>
          <cell r="C84" t="str">
            <v>인</v>
          </cell>
          <cell r="D84">
            <v>57364</v>
          </cell>
          <cell r="E84">
            <v>54191</v>
          </cell>
          <cell r="F84">
            <v>74369</v>
          </cell>
        </row>
        <row r="85">
          <cell r="A85" t="str">
            <v>L081</v>
          </cell>
          <cell r="B85" t="str">
            <v>작업반장</v>
          </cell>
          <cell r="C85" t="str">
            <v>인</v>
          </cell>
          <cell r="D85">
            <v>57364</v>
          </cell>
          <cell r="E85">
            <v>54191</v>
          </cell>
          <cell r="F85">
            <v>60326</v>
          </cell>
        </row>
        <row r="86">
          <cell r="A86" t="str">
            <v>L082</v>
          </cell>
          <cell r="B86" t="str">
            <v>목    도</v>
          </cell>
          <cell r="C86" t="str">
            <v>인</v>
          </cell>
          <cell r="D86">
            <v>64408</v>
          </cell>
          <cell r="E86">
            <v>63010</v>
          </cell>
          <cell r="F86">
            <v>64758</v>
          </cell>
        </row>
        <row r="87">
          <cell r="A87" t="str">
            <v>L083</v>
          </cell>
          <cell r="B87" t="str">
            <v>조 력 공</v>
          </cell>
          <cell r="C87" t="str">
            <v>인</v>
          </cell>
          <cell r="D87">
            <v>39371</v>
          </cell>
          <cell r="E87">
            <v>40427</v>
          </cell>
          <cell r="F87">
            <v>48912</v>
          </cell>
        </row>
        <row r="88">
          <cell r="A88" t="str">
            <v>L084</v>
          </cell>
          <cell r="B88" t="str">
            <v>특별인부</v>
          </cell>
          <cell r="C88" t="str">
            <v>인</v>
          </cell>
          <cell r="D88">
            <v>48674</v>
          </cell>
          <cell r="E88">
            <v>49659</v>
          </cell>
          <cell r="F88">
            <v>57379</v>
          </cell>
        </row>
        <row r="89">
          <cell r="A89" t="str">
            <v>L085</v>
          </cell>
          <cell r="B89" t="str">
            <v>보통인부</v>
          </cell>
          <cell r="C89" t="str">
            <v>인</v>
          </cell>
          <cell r="D89">
            <v>33755</v>
          </cell>
          <cell r="E89">
            <v>34098</v>
          </cell>
          <cell r="F89">
            <v>37736</v>
          </cell>
        </row>
        <row r="90">
          <cell r="A90" t="str">
            <v>L086</v>
          </cell>
          <cell r="B90" t="str">
            <v>중기운전기사</v>
          </cell>
          <cell r="C90" t="str">
            <v>인</v>
          </cell>
          <cell r="D90">
            <v>53715</v>
          </cell>
          <cell r="E90">
            <v>52855</v>
          </cell>
          <cell r="F90">
            <v>56951</v>
          </cell>
        </row>
        <row r="91">
          <cell r="A91" t="str">
            <v>L087</v>
          </cell>
          <cell r="B91" t="str">
            <v>운전사(운반차)</v>
          </cell>
          <cell r="C91" t="str">
            <v>인</v>
          </cell>
          <cell r="D91">
            <v>49633</v>
          </cell>
          <cell r="E91">
            <v>53159</v>
          </cell>
          <cell r="F91">
            <v>51077</v>
          </cell>
        </row>
        <row r="92">
          <cell r="A92" t="str">
            <v>L088</v>
          </cell>
          <cell r="B92" t="str">
            <v>운전사(기  계)</v>
          </cell>
          <cell r="C92" t="str">
            <v>인</v>
          </cell>
          <cell r="D92">
            <v>45575</v>
          </cell>
          <cell r="E92">
            <v>45276</v>
          </cell>
          <cell r="F92">
            <v>54325</v>
          </cell>
        </row>
        <row r="93">
          <cell r="A93" t="str">
            <v>L089</v>
          </cell>
          <cell r="B93" t="str">
            <v>중기운전조수</v>
          </cell>
          <cell r="C93" t="str">
            <v>인</v>
          </cell>
          <cell r="D93">
            <v>40706</v>
          </cell>
          <cell r="E93">
            <v>39194</v>
          </cell>
          <cell r="F93">
            <v>42762</v>
          </cell>
        </row>
        <row r="94">
          <cell r="A94" t="str">
            <v>L090</v>
          </cell>
          <cell r="B94" t="str">
            <v>고급선원</v>
          </cell>
          <cell r="C94" t="str">
            <v>인</v>
          </cell>
          <cell r="D94">
            <v>67380</v>
          </cell>
          <cell r="E94">
            <v>63746</v>
          </cell>
          <cell r="F94">
            <v>63950</v>
          </cell>
        </row>
        <row r="95">
          <cell r="A95" t="str">
            <v>L091</v>
          </cell>
          <cell r="B95" t="str">
            <v>보통선원</v>
          </cell>
          <cell r="C95" t="str">
            <v>인</v>
          </cell>
          <cell r="D95">
            <v>52274</v>
          </cell>
          <cell r="E95">
            <v>54986</v>
          </cell>
          <cell r="F95">
            <v>49346</v>
          </cell>
        </row>
        <row r="96">
          <cell r="A96" t="str">
            <v>L092</v>
          </cell>
          <cell r="B96" t="str">
            <v>선    부</v>
          </cell>
          <cell r="C96" t="str">
            <v>인</v>
          </cell>
          <cell r="D96">
            <v>41303</v>
          </cell>
          <cell r="E96">
            <v>45267</v>
          </cell>
          <cell r="F96">
            <v>40088</v>
          </cell>
        </row>
        <row r="97">
          <cell r="A97" t="str">
            <v>L093</v>
          </cell>
          <cell r="B97" t="str">
            <v>준설선선장</v>
          </cell>
          <cell r="C97" t="str">
            <v>인</v>
          </cell>
          <cell r="D97">
            <v>77084</v>
          </cell>
          <cell r="E97">
            <v>77929</v>
          </cell>
          <cell r="F97">
            <v>79532</v>
          </cell>
        </row>
        <row r="98">
          <cell r="A98" t="str">
            <v>L094</v>
          </cell>
          <cell r="B98" t="str">
            <v>준설선기관장</v>
          </cell>
          <cell r="C98" t="str">
            <v>인</v>
          </cell>
          <cell r="D98">
            <v>65732</v>
          </cell>
          <cell r="E98">
            <v>66667</v>
          </cell>
          <cell r="F98">
            <v>70637</v>
          </cell>
        </row>
        <row r="99">
          <cell r="A99" t="str">
            <v>L095</v>
          </cell>
          <cell r="B99" t="str">
            <v>준설선기관사</v>
          </cell>
          <cell r="C99" t="str">
            <v>인</v>
          </cell>
          <cell r="D99">
            <v>62000</v>
          </cell>
          <cell r="E99">
            <v>63333</v>
          </cell>
          <cell r="F99">
            <v>56955</v>
          </cell>
        </row>
        <row r="100">
          <cell r="A100" t="str">
            <v>L096</v>
          </cell>
          <cell r="B100" t="str">
            <v>준설선운전사</v>
          </cell>
          <cell r="C100" t="str">
            <v>인</v>
          </cell>
          <cell r="D100">
            <v>64200</v>
          </cell>
          <cell r="E100">
            <v>58033</v>
          </cell>
          <cell r="F100">
            <v>66688</v>
          </cell>
        </row>
        <row r="101">
          <cell r="A101" t="str">
            <v>L097</v>
          </cell>
          <cell r="B101" t="str">
            <v>준설선전기사</v>
          </cell>
          <cell r="C101" t="str">
            <v>인</v>
          </cell>
          <cell r="D101">
            <v>66400</v>
          </cell>
          <cell r="E101">
            <v>66000</v>
          </cell>
          <cell r="F101">
            <v>63631</v>
          </cell>
        </row>
        <row r="102">
          <cell r="A102" t="str">
            <v>L098</v>
          </cell>
          <cell r="B102" t="str">
            <v>기계설치공</v>
          </cell>
          <cell r="C102" t="str">
            <v>인</v>
          </cell>
          <cell r="D102">
            <v>56925</v>
          </cell>
          <cell r="E102">
            <v>51838</v>
          </cell>
          <cell r="F102">
            <v>67415</v>
          </cell>
        </row>
        <row r="103">
          <cell r="A103" t="str">
            <v>L099</v>
          </cell>
          <cell r="B103" t="str">
            <v>기 계 공</v>
          </cell>
          <cell r="C103" t="str">
            <v>인</v>
          </cell>
          <cell r="D103">
            <v>49611</v>
          </cell>
          <cell r="E103">
            <v>49600</v>
          </cell>
          <cell r="F103">
            <v>58906</v>
          </cell>
        </row>
        <row r="104">
          <cell r="A104" t="str">
            <v>L100</v>
          </cell>
          <cell r="B104" t="str">
            <v>선 반 공</v>
          </cell>
          <cell r="C104" t="str">
            <v>인</v>
          </cell>
          <cell r="D104">
            <v>0</v>
          </cell>
          <cell r="E104">
            <v>0</v>
          </cell>
          <cell r="F104">
            <v>78752</v>
          </cell>
        </row>
        <row r="105">
          <cell r="A105" t="str">
            <v>L101</v>
          </cell>
          <cell r="B105" t="str">
            <v>정 비 공</v>
          </cell>
          <cell r="C105" t="str">
            <v>인</v>
          </cell>
          <cell r="D105">
            <v>0</v>
          </cell>
          <cell r="E105">
            <v>0</v>
          </cell>
          <cell r="F105">
            <v>52502</v>
          </cell>
        </row>
        <row r="106">
          <cell r="A106" t="str">
            <v>L102</v>
          </cell>
          <cell r="B106" t="str">
            <v>벨트콘베어작업공</v>
          </cell>
          <cell r="C106" t="str">
            <v>인</v>
          </cell>
          <cell r="D106">
            <v>0</v>
          </cell>
          <cell r="E106">
            <v>0</v>
          </cell>
          <cell r="F106">
            <v>0</v>
          </cell>
        </row>
        <row r="107">
          <cell r="A107" t="str">
            <v>L103</v>
          </cell>
          <cell r="B107" t="str">
            <v>현 도 사</v>
          </cell>
          <cell r="C107" t="str">
            <v>인</v>
          </cell>
          <cell r="D107">
            <v>66579</v>
          </cell>
          <cell r="E107">
            <v>0</v>
          </cell>
          <cell r="F107">
            <v>0</v>
          </cell>
        </row>
        <row r="108">
          <cell r="A108" t="str">
            <v>L104</v>
          </cell>
          <cell r="B108" t="str">
            <v>제 도 사</v>
          </cell>
          <cell r="C108" t="str">
            <v>인</v>
          </cell>
          <cell r="D108">
            <v>42366</v>
          </cell>
          <cell r="E108">
            <v>52957</v>
          </cell>
          <cell r="F108">
            <v>46978</v>
          </cell>
        </row>
        <row r="109">
          <cell r="A109" t="str">
            <v>L105</v>
          </cell>
          <cell r="B109" t="str">
            <v>시험사 1급</v>
          </cell>
          <cell r="C109" t="str">
            <v>인</v>
          </cell>
          <cell r="D109">
            <v>48017</v>
          </cell>
          <cell r="E109">
            <v>51959</v>
          </cell>
          <cell r="F109">
            <v>47867</v>
          </cell>
        </row>
        <row r="110">
          <cell r="A110" t="str">
            <v>L106</v>
          </cell>
          <cell r="B110" t="str">
            <v>시험사 2급</v>
          </cell>
          <cell r="C110" t="str">
            <v>인</v>
          </cell>
          <cell r="D110">
            <v>36857</v>
          </cell>
          <cell r="E110">
            <v>39935</v>
          </cell>
          <cell r="F110">
            <v>42272</v>
          </cell>
        </row>
        <row r="111">
          <cell r="A111" t="str">
            <v>L107</v>
          </cell>
          <cell r="B111" t="str">
            <v>시험사 3급</v>
          </cell>
          <cell r="C111" t="str">
            <v>인</v>
          </cell>
          <cell r="D111">
            <v>0</v>
          </cell>
          <cell r="E111">
            <v>0</v>
          </cell>
          <cell r="F111">
            <v>36667</v>
          </cell>
        </row>
        <row r="112">
          <cell r="A112" t="str">
            <v>L108</v>
          </cell>
          <cell r="B112" t="str">
            <v>시험사 4급</v>
          </cell>
          <cell r="C112" t="str">
            <v>인</v>
          </cell>
          <cell r="D112">
            <v>0</v>
          </cell>
          <cell r="E112">
            <v>0</v>
          </cell>
          <cell r="F112">
            <v>30223</v>
          </cell>
        </row>
        <row r="113">
          <cell r="A113" t="str">
            <v>L109</v>
          </cell>
          <cell r="B113" t="str">
            <v>시험보조수</v>
          </cell>
          <cell r="C113" t="str">
            <v>인</v>
          </cell>
          <cell r="D113">
            <v>29231</v>
          </cell>
          <cell r="E113">
            <v>31260</v>
          </cell>
          <cell r="F113">
            <v>31003</v>
          </cell>
        </row>
        <row r="114">
          <cell r="A114" t="str">
            <v>L110</v>
          </cell>
          <cell r="B114" t="str">
            <v>안전관리기사 1급</v>
          </cell>
          <cell r="C114" t="str">
            <v>인</v>
          </cell>
          <cell r="D114">
            <v>0</v>
          </cell>
          <cell r="E114">
            <v>0</v>
          </cell>
          <cell r="F114">
            <v>43959</v>
          </cell>
        </row>
        <row r="115">
          <cell r="A115" t="str">
            <v>L111</v>
          </cell>
          <cell r="B115" t="str">
            <v>안전관리기사 2급</v>
          </cell>
          <cell r="C115" t="str">
            <v>인</v>
          </cell>
          <cell r="D115">
            <v>0</v>
          </cell>
          <cell r="E115">
            <v>0</v>
          </cell>
          <cell r="F115">
            <v>38509</v>
          </cell>
        </row>
        <row r="116">
          <cell r="A116" t="str">
            <v>L112</v>
          </cell>
          <cell r="B116" t="str">
            <v>유 리 공</v>
          </cell>
          <cell r="C116" t="str">
            <v>인</v>
          </cell>
          <cell r="D116">
            <v>57574</v>
          </cell>
          <cell r="E116">
            <v>61877</v>
          </cell>
          <cell r="F116">
            <v>63783</v>
          </cell>
        </row>
        <row r="117">
          <cell r="A117" t="str">
            <v>L113</v>
          </cell>
          <cell r="B117" t="str">
            <v>함 석 공</v>
          </cell>
          <cell r="C117" t="str">
            <v>인</v>
          </cell>
          <cell r="D117">
            <v>56248</v>
          </cell>
          <cell r="E117">
            <v>56465</v>
          </cell>
          <cell r="F117">
            <v>68943</v>
          </cell>
        </row>
        <row r="118">
          <cell r="A118" t="str">
            <v>L114</v>
          </cell>
          <cell r="B118" t="str">
            <v>용 접 공(일 반)</v>
          </cell>
          <cell r="C118" t="str">
            <v>인</v>
          </cell>
          <cell r="D118">
            <v>60784</v>
          </cell>
          <cell r="E118">
            <v>61021</v>
          </cell>
          <cell r="F118">
            <v>74016</v>
          </cell>
        </row>
        <row r="119">
          <cell r="A119" t="str">
            <v>L115</v>
          </cell>
          <cell r="B119" t="str">
            <v>리 벳 공</v>
          </cell>
          <cell r="C119" t="str">
            <v>인</v>
          </cell>
          <cell r="D119">
            <v>60500</v>
          </cell>
          <cell r="E119">
            <v>64796</v>
          </cell>
          <cell r="F119">
            <v>71579</v>
          </cell>
        </row>
        <row r="120">
          <cell r="A120" t="str">
            <v>L116</v>
          </cell>
          <cell r="B120" t="str">
            <v>루 핑 공</v>
          </cell>
          <cell r="C120" t="str">
            <v>인</v>
          </cell>
          <cell r="D120">
            <v>50866</v>
          </cell>
          <cell r="E120">
            <v>51640</v>
          </cell>
          <cell r="F120">
            <v>57701</v>
          </cell>
        </row>
        <row r="121">
          <cell r="A121" t="str">
            <v>L117</v>
          </cell>
          <cell r="B121" t="str">
            <v>닥 트 공</v>
          </cell>
          <cell r="C121" t="str">
            <v>인</v>
          </cell>
          <cell r="D121">
            <v>48478</v>
          </cell>
          <cell r="E121">
            <v>52215</v>
          </cell>
          <cell r="F121">
            <v>58041</v>
          </cell>
        </row>
        <row r="122">
          <cell r="A122" t="str">
            <v>L118</v>
          </cell>
          <cell r="B122" t="str">
            <v>대 장 공</v>
          </cell>
          <cell r="C122" t="str">
            <v>인</v>
          </cell>
          <cell r="D122">
            <v>0</v>
          </cell>
          <cell r="E122">
            <v>0</v>
          </cell>
          <cell r="F122">
            <v>0</v>
          </cell>
        </row>
        <row r="123">
          <cell r="A123" t="str">
            <v>L119</v>
          </cell>
          <cell r="B123" t="str">
            <v>할 석 공</v>
          </cell>
          <cell r="C123" t="str">
            <v>인</v>
          </cell>
          <cell r="D123">
            <v>63951</v>
          </cell>
          <cell r="E123">
            <v>63908</v>
          </cell>
          <cell r="F123">
            <v>77728</v>
          </cell>
        </row>
        <row r="124">
          <cell r="A124" t="str">
            <v>L120</v>
          </cell>
          <cell r="B124" t="str">
            <v>제철축로공</v>
          </cell>
          <cell r="C124" t="str">
            <v>인</v>
          </cell>
          <cell r="D124">
            <v>92419</v>
          </cell>
          <cell r="E124">
            <v>93072</v>
          </cell>
          <cell r="F124">
            <v>93345</v>
          </cell>
        </row>
        <row r="125">
          <cell r="A125" t="str">
            <v>L121</v>
          </cell>
          <cell r="B125" t="str">
            <v>양 생 공</v>
          </cell>
          <cell r="C125" t="str">
            <v>인</v>
          </cell>
          <cell r="D125">
            <v>33755</v>
          </cell>
          <cell r="E125">
            <v>34098</v>
          </cell>
          <cell r="F125">
            <v>42244</v>
          </cell>
        </row>
        <row r="126">
          <cell r="A126" t="str">
            <v>L122</v>
          </cell>
          <cell r="B126" t="str">
            <v>계 령 공</v>
          </cell>
          <cell r="C126" t="str">
            <v>인</v>
          </cell>
          <cell r="D126">
            <v>52915</v>
          </cell>
          <cell r="E126">
            <v>55640</v>
          </cell>
          <cell r="F126">
            <v>0</v>
          </cell>
        </row>
        <row r="127">
          <cell r="A127" t="str">
            <v>L123</v>
          </cell>
          <cell r="B127" t="str">
            <v>사 공(배포함)</v>
          </cell>
          <cell r="C127" t="str">
            <v>인</v>
          </cell>
          <cell r="D127">
            <v>0</v>
          </cell>
          <cell r="E127">
            <v>0</v>
          </cell>
          <cell r="F127">
            <v>0</v>
          </cell>
        </row>
        <row r="128">
          <cell r="A128" t="str">
            <v>L124</v>
          </cell>
          <cell r="B128" t="str">
            <v>마 부(우마차포함)</v>
          </cell>
          <cell r="C128" t="str">
            <v>인</v>
          </cell>
          <cell r="D128">
            <v>0</v>
          </cell>
          <cell r="E128">
            <v>0</v>
          </cell>
          <cell r="F128">
            <v>0</v>
          </cell>
        </row>
        <row r="129">
          <cell r="A129" t="str">
            <v>L125</v>
          </cell>
          <cell r="B129" t="str">
            <v>제 재 공</v>
          </cell>
          <cell r="C129" t="str">
            <v>인</v>
          </cell>
          <cell r="D129">
            <v>0</v>
          </cell>
          <cell r="E129">
            <v>0</v>
          </cell>
          <cell r="F129">
            <v>0</v>
          </cell>
        </row>
        <row r="130">
          <cell r="A130" t="str">
            <v>L126</v>
          </cell>
          <cell r="B130" t="str">
            <v>철도궤도공</v>
          </cell>
          <cell r="C130" t="str">
            <v>인</v>
          </cell>
          <cell r="D130">
            <v>53629</v>
          </cell>
          <cell r="E130">
            <v>62818</v>
          </cell>
          <cell r="F130">
            <v>65636</v>
          </cell>
        </row>
        <row r="131">
          <cell r="A131" t="str">
            <v>L127</v>
          </cell>
          <cell r="B131" t="str">
            <v>지적기사 1급</v>
          </cell>
          <cell r="C131" t="str">
            <v>인</v>
          </cell>
          <cell r="D131">
            <v>91687</v>
          </cell>
          <cell r="E131">
            <v>93295</v>
          </cell>
          <cell r="F131">
            <v>93540</v>
          </cell>
        </row>
        <row r="132">
          <cell r="A132" t="str">
            <v>L128</v>
          </cell>
          <cell r="B132" t="str">
            <v>지적기사 2급</v>
          </cell>
          <cell r="C132" t="str">
            <v>인</v>
          </cell>
          <cell r="D132">
            <v>69173</v>
          </cell>
          <cell r="E132">
            <v>72840</v>
          </cell>
          <cell r="F132">
            <v>72183</v>
          </cell>
        </row>
        <row r="133">
          <cell r="A133" t="str">
            <v>L129</v>
          </cell>
          <cell r="B133" t="str">
            <v>지적기능사 1급</v>
          </cell>
          <cell r="C133" t="str">
            <v>인</v>
          </cell>
          <cell r="D133">
            <v>48878</v>
          </cell>
          <cell r="E133">
            <v>50316</v>
          </cell>
          <cell r="F133">
            <v>53062</v>
          </cell>
        </row>
        <row r="134">
          <cell r="A134" t="str">
            <v>L130</v>
          </cell>
          <cell r="B134" t="str">
            <v>지적기능사 2급</v>
          </cell>
          <cell r="C134" t="str">
            <v>인</v>
          </cell>
          <cell r="D134">
            <v>35131</v>
          </cell>
          <cell r="E134">
            <v>34731</v>
          </cell>
          <cell r="F134">
            <v>32715</v>
          </cell>
        </row>
        <row r="135">
          <cell r="A135" t="str">
            <v>L131</v>
          </cell>
          <cell r="B135" t="str">
            <v>치장벽돌공</v>
          </cell>
          <cell r="C135" t="str">
            <v>인</v>
          </cell>
          <cell r="D135">
            <v>61897</v>
          </cell>
          <cell r="E135">
            <v>64317</v>
          </cell>
          <cell r="F135">
            <v>73288</v>
          </cell>
        </row>
        <row r="136">
          <cell r="A136" t="str">
            <v>L132</v>
          </cell>
          <cell r="B136" t="str">
            <v>송전활선전공</v>
          </cell>
          <cell r="C136" t="str">
            <v>인</v>
          </cell>
          <cell r="D136">
            <v>235109</v>
          </cell>
          <cell r="E136">
            <v>250000</v>
          </cell>
          <cell r="F136">
            <v>0</v>
          </cell>
        </row>
        <row r="137">
          <cell r="A137" t="str">
            <v>L133</v>
          </cell>
          <cell r="B137" t="str">
            <v>배전활선전공</v>
          </cell>
          <cell r="C137" t="str">
            <v>인</v>
          </cell>
          <cell r="D137">
            <v>182772</v>
          </cell>
          <cell r="E137">
            <v>188915</v>
          </cell>
          <cell r="F137">
            <v>215055</v>
          </cell>
        </row>
        <row r="138">
          <cell r="A138" t="str">
            <v>L134</v>
          </cell>
          <cell r="B138" t="str">
            <v>중기조장</v>
          </cell>
          <cell r="C138" t="str">
            <v>인</v>
          </cell>
          <cell r="D138">
            <v>64260</v>
          </cell>
          <cell r="E138">
            <v>56042</v>
          </cell>
          <cell r="F138">
            <v>55484</v>
          </cell>
        </row>
        <row r="139">
          <cell r="A139" t="str">
            <v>L135</v>
          </cell>
          <cell r="B139" t="str">
            <v>모래분사공</v>
          </cell>
          <cell r="C139" t="str">
            <v>인</v>
          </cell>
          <cell r="D139">
            <v>52915</v>
          </cell>
          <cell r="E139">
            <v>55640</v>
          </cell>
          <cell r="F139">
            <v>49962</v>
          </cell>
        </row>
        <row r="140">
          <cell r="A140" t="str">
            <v>L137</v>
          </cell>
          <cell r="B140" t="str">
            <v>플랜트 특수용접공</v>
          </cell>
          <cell r="C140" t="str">
            <v>인</v>
          </cell>
          <cell r="D140">
            <v>100475</v>
          </cell>
          <cell r="E140">
            <v>93828</v>
          </cell>
          <cell r="F140">
            <v>141421</v>
          </cell>
        </row>
        <row r="141">
          <cell r="A141" t="str">
            <v>L200</v>
          </cell>
          <cell r="B141" t="str">
            <v>여자인부</v>
          </cell>
          <cell r="C141" t="str">
            <v>인</v>
          </cell>
          <cell r="D141">
            <v>0</v>
          </cell>
          <cell r="E141">
            <v>0</v>
          </cell>
          <cell r="F141">
            <v>0</v>
          </cell>
        </row>
        <row r="142">
          <cell r="A142" t="str">
            <v>L201</v>
          </cell>
          <cell r="B142" t="str">
            <v>조    공</v>
          </cell>
          <cell r="C142" t="str">
            <v>인</v>
          </cell>
          <cell r="D142">
            <v>0</v>
          </cell>
          <cell r="E142">
            <v>0</v>
          </cell>
          <cell r="F142">
            <v>0</v>
          </cell>
        </row>
        <row r="143">
          <cell r="A143" t="str">
            <v>L202</v>
          </cell>
          <cell r="B143" t="str">
            <v>포장특공</v>
          </cell>
          <cell r="C143" t="str">
            <v>인</v>
          </cell>
          <cell r="D143">
            <v>0</v>
          </cell>
          <cell r="E143">
            <v>0</v>
          </cell>
          <cell r="F143">
            <v>0</v>
          </cell>
        </row>
        <row r="144">
          <cell r="A144" t="str">
            <v>L203</v>
          </cell>
          <cell r="B144" t="str">
            <v>항 타 공</v>
          </cell>
          <cell r="C144" t="str">
            <v>인</v>
          </cell>
          <cell r="D144">
            <v>0</v>
          </cell>
          <cell r="E144">
            <v>0</v>
          </cell>
          <cell r="F144">
            <v>0</v>
          </cell>
        </row>
        <row r="145">
          <cell r="A145" t="str">
            <v>L204</v>
          </cell>
          <cell r="B145" t="str">
            <v>드 릴 공</v>
          </cell>
          <cell r="C145" t="str">
            <v>인</v>
          </cell>
          <cell r="D145">
            <v>0</v>
          </cell>
          <cell r="E145">
            <v>0</v>
          </cell>
          <cell r="F145">
            <v>0</v>
          </cell>
        </row>
        <row r="146">
          <cell r="A146" t="str">
            <v>L205</v>
          </cell>
          <cell r="B146" t="str">
            <v>WIRE MESH 설치공</v>
          </cell>
          <cell r="C146" t="str">
            <v>인</v>
          </cell>
          <cell r="D146">
            <v>0</v>
          </cell>
          <cell r="E146">
            <v>0</v>
          </cell>
          <cell r="F146">
            <v>0</v>
          </cell>
        </row>
        <row r="147">
          <cell r="A147" t="str">
            <v>L701</v>
          </cell>
          <cell r="B147" t="str">
            <v>특급기술자</v>
          </cell>
          <cell r="C147" t="str">
            <v>인</v>
          </cell>
          <cell r="D147">
            <v>132166</v>
          </cell>
          <cell r="E147">
            <v>142203</v>
          </cell>
          <cell r="F147">
            <v>142203</v>
          </cell>
        </row>
        <row r="148">
          <cell r="A148" t="str">
            <v>L702</v>
          </cell>
          <cell r="B148" t="str">
            <v>고급기술자</v>
          </cell>
          <cell r="C148" t="str">
            <v>인</v>
          </cell>
          <cell r="D148">
            <v>109695</v>
          </cell>
          <cell r="E148">
            <v>117410</v>
          </cell>
          <cell r="F148">
            <v>117410</v>
          </cell>
        </row>
        <row r="149">
          <cell r="A149" t="str">
            <v>L703</v>
          </cell>
          <cell r="B149" t="str">
            <v>중급기술자</v>
          </cell>
          <cell r="C149" t="str">
            <v>인</v>
          </cell>
          <cell r="D149">
            <v>91968</v>
          </cell>
          <cell r="E149">
            <v>97488</v>
          </cell>
          <cell r="F149">
            <v>97488</v>
          </cell>
        </row>
        <row r="150">
          <cell r="A150" t="str">
            <v>L704</v>
          </cell>
          <cell r="B150" t="str">
            <v>초급기술자</v>
          </cell>
          <cell r="C150" t="str">
            <v>인</v>
          </cell>
          <cell r="D150">
            <v>65947</v>
          </cell>
          <cell r="E150">
            <v>69405</v>
          </cell>
          <cell r="F150">
            <v>69405</v>
          </cell>
        </row>
        <row r="151">
          <cell r="A151" t="str">
            <v>L705</v>
          </cell>
          <cell r="B151" t="str">
            <v>고급기능사</v>
          </cell>
          <cell r="C151" t="str">
            <v>인</v>
          </cell>
          <cell r="D151">
            <v>67006</v>
          </cell>
          <cell r="E151">
            <v>68094</v>
          </cell>
          <cell r="F151">
            <v>68094</v>
          </cell>
        </row>
        <row r="152">
          <cell r="A152" t="str">
            <v>L706</v>
          </cell>
          <cell r="B152" t="str">
            <v>중급기능사</v>
          </cell>
          <cell r="C152" t="str">
            <v>인</v>
          </cell>
          <cell r="D152">
            <v>55830</v>
          </cell>
          <cell r="E152">
            <v>60249</v>
          </cell>
          <cell r="F152">
            <v>60249</v>
          </cell>
        </row>
        <row r="153">
          <cell r="A153" t="str">
            <v>L707</v>
          </cell>
          <cell r="B153" t="str">
            <v>초급기능사</v>
          </cell>
          <cell r="C153" t="str">
            <v>인</v>
          </cell>
          <cell r="D153">
            <v>46933</v>
          </cell>
          <cell r="E153">
            <v>48652</v>
          </cell>
          <cell r="F153">
            <v>48652</v>
          </cell>
        </row>
        <row r="154">
          <cell r="A154" t="str">
            <v>L301</v>
          </cell>
          <cell r="B154" t="str">
            <v>H/W설치기사</v>
          </cell>
          <cell r="C154" t="str">
            <v>인</v>
          </cell>
          <cell r="D154">
            <v>83297</v>
          </cell>
          <cell r="E154">
            <v>82162</v>
          </cell>
          <cell r="F154">
            <v>82913</v>
          </cell>
        </row>
        <row r="155">
          <cell r="A155" t="str">
            <v>L302</v>
          </cell>
          <cell r="B155" t="str">
            <v>H/W시험기사</v>
          </cell>
          <cell r="C155" t="str">
            <v>인</v>
          </cell>
          <cell r="D155">
            <v>85165</v>
          </cell>
          <cell r="E155">
            <v>82402</v>
          </cell>
          <cell r="F155">
            <v>84088</v>
          </cell>
        </row>
        <row r="156">
          <cell r="A156" t="str">
            <v>L303</v>
          </cell>
          <cell r="B156" t="str">
            <v>S/W시험기사</v>
          </cell>
          <cell r="C156" t="str">
            <v>인</v>
          </cell>
          <cell r="D156">
            <v>86583</v>
          </cell>
          <cell r="E156">
            <v>84693</v>
          </cell>
          <cell r="F156">
            <v>85238</v>
          </cell>
        </row>
        <row r="157">
          <cell r="A157" t="str">
            <v>L304</v>
          </cell>
          <cell r="B157" t="str">
            <v>CPU시험기사</v>
          </cell>
          <cell r="C157" t="str">
            <v>인</v>
          </cell>
          <cell r="D157">
            <v>81182</v>
          </cell>
          <cell r="E157">
            <v>79138</v>
          </cell>
          <cell r="F157">
            <v>80163</v>
          </cell>
        </row>
        <row r="158">
          <cell r="A158" t="str">
            <v>L305</v>
          </cell>
          <cell r="B158" t="str">
            <v>광통신기사</v>
          </cell>
          <cell r="C158" t="str">
            <v>인</v>
          </cell>
          <cell r="D158">
            <v>108175</v>
          </cell>
          <cell r="E158">
            <v>132875</v>
          </cell>
          <cell r="F158">
            <v>149857</v>
          </cell>
        </row>
        <row r="159">
          <cell r="A159" t="str">
            <v>L306</v>
          </cell>
          <cell r="B159" t="str">
            <v>광케이블기사</v>
          </cell>
          <cell r="C159" t="str">
            <v>인</v>
          </cell>
          <cell r="D159">
            <v>90147</v>
          </cell>
          <cell r="E159">
            <v>110336</v>
          </cell>
          <cell r="F159">
            <v>120493</v>
          </cell>
        </row>
        <row r="160">
          <cell r="A160" t="str">
            <v>L401</v>
          </cell>
          <cell r="B160" t="str">
            <v>도편수</v>
          </cell>
          <cell r="C160" t="str">
            <v>인</v>
          </cell>
          <cell r="D160">
            <v>120804</v>
          </cell>
          <cell r="E160">
            <v>131984</v>
          </cell>
          <cell r="F160">
            <v>132909</v>
          </cell>
        </row>
        <row r="161">
          <cell r="A161" t="str">
            <v>L402</v>
          </cell>
          <cell r="B161" t="str">
            <v>목조각공</v>
          </cell>
          <cell r="C161" t="str">
            <v>인</v>
          </cell>
          <cell r="D161">
            <v>109226</v>
          </cell>
          <cell r="E161">
            <v>96291</v>
          </cell>
          <cell r="F161">
            <v>95674</v>
          </cell>
        </row>
        <row r="162">
          <cell r="A162" t="str">
            <v>L403</v>
          </cell>
          <cell r="B162" t="str">
            <v>한식목공</v>
          </cell>
          <cell r="C162" t="str">
            <v>인</v>
          </cell>
          <cell r="D162">
            <v>89987</v>
          </cell>
          <cell r="E162">
            <v>87000</v>
          </cell>
          <cell r="F162">
            <v>86465</v>
          </cell>
        </row>
        <row r="163">
          <cell r="A163" t="str">
            <v>L404</v>
          </cell>
          <cell r="B163" t="str">
            <v>한식목공조공</v>
          </cell>
          <cell r="C163" t="str">
            <v>인</v>
          </cell>
          <cell r="D163">
            <v>73861</v>
          </cell>
          <cell r="E163">
            <v>69203</v>
          </cell>
          <cell r="F163">
            <v>62022</v>
          </cell>
        </row>
        <row r="164">
          <cell r="A164" t="str">
            <v>L405</v>
          </cell>
          <cell r="B164" t="str">
            <v>드잡이공</v>
          </cell>
          <cell r="C164" t="str">
            <v>인</v>
          </cell>
          <cell r="D164">
            <v>98743</v>
          </cell>
          <cell r="E164">
            <v>106667</v>
          </cell>
          <cell r="F164">
            <v>98108</v>
          </cell>
        </row>
        <row r="165">
          <cell r="A165" t="str">
            <v>L406</v>
          </cell>
          <cell r="B165" t="str">
            <v>한식와공</v>
          </cell>
          <cell r="C165" t="str">
            <v>인</v>
          </cell>
          <cell r="D165">
            <v>144566</v>
          </cell>
          <cell r="E165">
            <v>153013</v>
          </cell>
          <cell r="F165">
            <v>126465</v>
          </cell>
        </row>
        <row r="166">
          <cell r="A166" t="str">
            <v>L407</v>
          </cell>
          <cell r="B166" t="str">
            <v>한식와공조공</v>
          </cell>
          <cell r="C166" t="str">
            <v>인</v>
          </cell>
          <cell r="D166">
            <v>98830</v>
          </cell>
          <cell r="E166">
            <v>80622</v>
          </cell>
          <cell r="F166">
            <v>91058</v>
          </cell>
        </row>
        <row r="167">
          <cell r="A167" t="str">
            <v>L408</v>
          </cell>
          <cell r="B167" t="str">
            <v>석조각공</v>
          </cell>
          <cell r="C167" t="str">
            <v>인</v>
          </cell>
          <cell r="D167">
            <v>97323</v>
          </cell>
          <cell r="E167">
            <v>112022</v>
          </cell>
          <cell r="F167">
            <v>108908</v>
          </cell>
        </row>
        <row r="168">
          <cell r="A168" t="str">
            <v>L409</v>
          </cell>
          <cell r="B168" t="str">
            <v>특수화공</v>
          </cell>
          <cell r="C168" t="str">
            <v>인</v>
          </cell>
          <cell r="D168">
            <v>130909</v>
          </cell>
          <cell r="E168">
            <v>106000</v>
          </cell>
          <cell r="F168">
            <v>121264</v>
          </cell>
        </row>
        <row r="169">
          <cell r="A169" t="str">
            <v>L410</v>
          </cell>
          <cell r="B169" t="str">
            <v>화공</v>
          </cell>
          <cell r="C169" t="str">
            <v>인</v>
          </cell>
          <cell r="D169">
            <v>98506</v>
          </cell>
          <cell r="E169">
            <v>92685</v>
          </cell>
          <cell r="F169">
            <v>86801</v>
          </cell>
        </row>
        <row r="170">
          <cell r="A170" t="str">
            <v>L411</v>
          </cell>
          <cell r="B170" t="str">
            <v>한식미장공</v>
          </cell>
          <cell r="C170" t="str">
            <v>인</v>
          </cell>
          <cell r="D170">
            <v>83400</v>
          </cell>
          <cell r="E170">
            <v>78989</v>
          </cell>
          <cell r="F170">
            <v>79972</v>
          </cell>
        </row>
        <row r="171">
          <cell r="A171" t="str">
            <v>L501</v>
          </cell>
          <cell r="B171" t="str">
            <v>원자력배관공</v>
          </cell>
          <cell r="C171" t="str">
            <v>인</v>
          </cell>
          <cell r="D171">
            <v>85504</v>
          </cell>
          <cell r="E171">
            <v>84091</v>
          </cell>
          <cell r="F171">
            <v>85331</v>
          </cell>
        </row>
        <row r="172">
          <cell r="A172" t="str">
            <v>L502</v>
          </cell>
          <cell r="B172" t="str">
            <v>원자력용접공</v>
          </cell>
          <cell r="C172" t="str">
            <v>인</v>
          </cell>
          <cell r="D172">
            <v>91598</v>
          </cell>
          <cell r="E172">
            <v>97054</v>
          </cell>
          <cell r="F172">
            <v>98842</v>
          </cell>
        </row>
        <row r="173">
          <cell r="A173" t="str">
            <v>L503</v>
          </cell>
          <cell r="B173" t="str">
            <v>원자력기계설치공</v>
          </cell>
          <cell r="C173" t="str">
            <v>인</v>
          </cell>
          <cell r="D173">
            <v>95966</v>
          </cell>
          <cell r="E173">
            <v>97451</v>
          </cell>
          <cell r="F173">
            <v>98364</v>
          </cell>
        </row>
        <row r="174">
          <cell r="A174" t="str">
            <v>L504</v>
          </cell>
          <cell r="B174" t="str">
            <v>원자력덕트공</v>
          </cell>
          <cell r="C174" t="str">
            <v>인</v>
          </cell>
          <cell r="D174">
            <v>88404</v>
          </cell>
          <cell r="E174">
            <v>84386</v>
          </cell>
          <cell r="F174">
            <v>104350</v>
          </cell>
        </row>
        <row r="175">
          <cell r="A175" t="str">
            <v>L505</v>
          </cell>
          <cell r="B175" t="str">
            <v>원자력제관공</v>
          </cell>
          <cell r="C175" t="str">
            <v>인</v>
          </cell>
          <cell r="D175">
            <v>76226</v>
          </cell>
          <cell r="E175">
            <v>79640</v>
          </cell>
          <cell r="F175">
            <v>76379</v>
          </cell>
        </row>
        <row r="176">
          <cell r="A176" t="str">
            <v>L506</v>
          </cell>
          <cell r="B176" t="str">
            <v>원자력케이블공</v>
          </cell>
          <cell r="C176" t="str">
            <v>인</v>
          </cell>
          <cell r="D176">
            <v>61338</v>
          </cell>
          <cell r="E176">
            <v>66411</v>
          </cell>
          <cell r="F176">
            <v>85474</v>
          </cell>
        </row>
        <row r="177">
          <cell r="A177" t="str">
            <v>L507</v>
          </cell>
          <cell r="B177" t="str">
            <v>원자력계장공</v>
          </cell>
          <cell r="C177" t="str">
            <v>인</v>
          </cell>
          <cell r="D177">
            <v>58478</v>
          </cell>
          <cell r="E177">
            <v>48839</v>
          </cell>
          <cell r="F177">
            <v>0</v>
          </cell>
        </row>
        <row r="178">
          <cell r="A178" t="str">
            <v>L508</v>
          </cell>
          <cell r="B178" t="str">
            <v>고급원자력비파괴시험공</v>
          </cell>
          <cell r="C178" t="str">
            <v>인</v>
          </cell>
          <cell r="D178">
            <v>89172</v>
          </cell>
          <cell r="E178">
            <v>91089</v>
          </cell>
          <cell r="F178">
            <v>92315</v>
          </cell>
        </row>
        <row r="179">
          <cell r="A179" t="str">
            <v>L509</v>
          </cell>
          <cell r="B179" t="str">
            <v>특급원자력비파괴시험공</v>
          </cell>
          <cell r="C179" t="str">
            <v>인</v>
          </cell>
          <cell r="D179">
            <v>94950</v>
          </cell>
          <cell r="E179">
            <v>99701</v>
          </cell>
          <cell r="F179">
            <v>100409</v>
          </cell>
        </row>
        <row r="180">
          <cell r="A180" t="str">
            <v>L510</v>
          </cell>
          <cell r="B180" t="str">
            <v>원자력기술자</v>
          </cell>
          <cell r="C180" t="str">
            <v>인</v>
          </cell>
          <cell r="D180">
            <v>71548</v>
          </cell>
          <cell r="E180">
            <v>67556</v>
          </cell>
          <cell r="F180">
            <v>66616</v>
          </cell>
        </row>
        <row r="181">
          <cell r="A181" t="str">
            <v>L511</v>
          </cell>
          <cell r="B181" t="str">
            <v>중급원자력기술자</v>
          </cell>
          <cell r="C181" t="str">
            <v>인</v>
          </cell>
          <cell r="D181">
            <v>85398</v>
          </cell>
          <cell r="E181">
            <v>78598</v>
          </cell>
          <cell r="F181">
            <v>77992</v>
          </cell>
        </row>
        <row r="182">
          <cell r="A182" t="str">
            <v>L048</v>
          </cell>
          <cell r="B182" t="str">
            <v>우 물 공</v>
          </cell>
          <cell r="C182" t="str">
            <v>인</v>
          </cell>
          <cell r="D182">
            <v>50288</v>
          </cell>
          <cell r="E182">
            <v>53721</v>
          </cell>
          <cell r="F182">
            <v>50558</v>
          </cell>
        </row>
        <row r="183">
          <cell r="A183" t="str">
            <v>L601</v>
          </cell>
          <cell r="B183" t="str">
            <v>책임측량사</v>
          </cell>
          <cell r="C183" t="str">
            <v>인</v>
          </cell>
          <cell r="D183">
            <v>0</v>
          </cell>
          <cell r="E183">
            <v>0</v>
          </cell>
          <cell r="F183">
            <v>0</v>
          </cell>
        </row>
        <row r="184">
          <cell r="A184" t="str">
            <v>L602</v>
          </cell>
          <cell r="B184" t="str">
            <v>측지기사 1급</v>
          </cell>
          <cell r="C184" t="str">
            <v>인</v>
          </cell>
          <cell r="D184">
            <v>0</v>
          </cell>
          <cell r="E184">
            <v>0</v>
          </cell>
          <cell r="F184">
            <v>0</v>
          </cell>
        </row>
        <row r="185">
          <cell r="A185" t="str">
            <v>L603</v>
          </cell>
          <cell r="B185" t="str">
            <v>측지기사 2급</v>
          </cell>
          <cell r="C185" t="str">
            <v>인</v>
          </cell>
          <cell r="D185">
            <v>0</v>
          </cell>
          <cell r="E185">
            <v>0</v>
          </cell>
          <cell r="F185">
            <v>0</v>
          </cell>
        </row>
        <row r="186">
          <cell r="A186" t="str">
            <v>L604</v>
          </cell>
          <cell r="B186" t="str">
            <v>측량기능사 1급</v>
          </cell>
          <cell r="C186" t="str">
            <v>인</v>
          </cell>
          <cell r="D186">
            <v>0</v>
          </cell>
          <cell r="E186">
            <v>0</v>
          </cell>
          <cell r="F186">
            <v>0</v>
          </cell>
        </row>
        <row r="187">
          <cell r="A187" t="str">
            <v>L605</v>
          </cell>
          <cell r="B187" t="str">
            <v>측량기능사 또는 측량기능사 2급</v>
          </cell>
          <cell r="C187" t="str">
            <v>인</v>
          </cell>
          <cell r="D187">
            <v>0</v>
          </cell>
          <cell r="E187">
            <v>0</v>
          </cell>
          <cell r="F187">
            <v>0</v>
          </cell>
        </row>
        <row r="188">
          <cell r="A188" t="str">
            <v>L606</v>
          </cell>
          <cell r="B188" t="str">
            <v>항공사진기능사 1급(1급/2급통합)</v>
          </cell>
          <cell r="C188" t="str">
            <v>인</v>
          </cell>
          <cell r="D188">
            <v>0</v>
          </cell>
          <cell r="E188">
            <v>0</v>
          </cell>
          <cell r="F188">
            <v>0</v>
          </cell>
        </row>
        <row r="189">
          <cell r="A189" t="str">
            <v>L609</v>
          </cell>
          <cell r="B189" t="str">
            <v>도화기능사 또는 도화기능사 2급</v>
          </cell>
          <cell r="C189" t="str">
            <v>인</v>
          </cell>
          <cell r="D189">
            <v>0</v>
          </cell>
          <cell r="E189">
            <v>0</v>
          </cell>
          <cell r="F189">
            <v>0</v>
          </cell>
        </row>
        <row r="190">
          <cell r="A190" t="str">
            <v>L607</v>
          </cell>
          <cell r="B190" t="str">
            <v>항공사진기능사 또는 항공사진기능사 2급</v>
          </cell>
          <cell r="C190" t="str">
            <v>인</v>
          </cell>
          <cell r="D190">
            <v>0</v>
          </cell>
          <cell r="E190">
            <v>0</v>
          </cell>
          <cell r="F190">
            <v>0</v>
          </cell>
        </row>
        <row r="191">
          <cell r="A191" t="str">
            <v>L608</v>
          </cell>
          <cell r="B191" t="str">
            <v>도화기능사 1급(1급/2급통합)</v>
          </cell>
          <cell r="C191" t="str">
            <v>인</v>
          </cell>
          <cell r="D191">
            <v>0</v>
          </cell>
          <cell r="E191">
            <v>0</v>
          </cell>
          <cell r="F191">
            <v>0</v>
          </cell>
        </row>
        <row r="192">
          <cell r="A192" t="str">
            <v>L610</v>
          </cell>
          <cell r="B192" t="str">
            <v>지도제작기능사 1급(1급/2급통합)</v>
          </cell>
          <cell r="C192" t="str">
            <v>인</v>
          </cell>
          <cell r="D192">
            <v>0</v>
          </cell>
          <cell r="E192">
            <v>0</v>
          </cell>
          <cell r="F192">
            <v>0</v>
          </cell>
        </row>
        <row r="193">
          <cell r="A193" t="str">
            <v>L611</v>
          </cell>
          <cell r="B193" t="str">
            <v>지도제작기능사 또는 지도제작기능사 2급</v>
          </cell>
          <cell r="C193" t="str">
            <v>인</v>
          </cell>
          <cell r="D193">
            <v>0</v>
          </cell>
          <cell r="E193">
            <v>0</v>
          </cell>
          <cell r="F193">
            <v>0</v>
          </cell>
        </row>
        <row r="194">
          <cell r="A194" t="str">
            <v>L612</v>
          </cell>
          <cell r="B194" t="str">
            <v>사업용 조종사</v>
          </cell>
          <cell r="C194" t="str">
            <v>인</v>
          </cell>
          <cell r="D194">
            <v>0</v>
          </cell>
          <cell r="E194">
            <v>0</v>
          </cell>
          <cell r="F194">
            <v>0</v>
          </cell>
        </row>
        <row r="195">
          <cell r="A195" t="str">
            <v>L613</v>
          </cell>
          <cell r="B195" t="str">
            <v>항법사</v>
          </cell>
          <cell r="C195" t="str">
            <v>인</v>
          </cell>
          <cell r="D195">
            <v>0</v>
          </cell>
          <cell r="E195">
            <v>0</v>
          </cell>
          <cell r="F195">
            <v>0</v>
          </cell>
        </row>
        <row r="196">
          <cell r="A196" t="str">
            <v>L614</v>
          </cell>
          <cell r="B196" t="str">
            <v>항공정비사</v>
          </cell>
          <cell r="C196" t="str">
            <v>인</v>
          </cell>
          <cell r="D196">
            <v>0</v>
          </cell>
          <cell r="E196">
            <v>0</v>
          </cell>
          <cell r="F196">
            <v>0</v>
          </cell>
        </row>
        <row r="197">
          <cell r="A197" t="str">
            <v>L615</v>
          </cell>
          <cell r="B197" t="str">
            <v>항공사진촬영사</v>
          </cell>
          <cell r="C197" t="str">
            <v>인</v>
          </cell>
          <cell r="D197">
            <v>0</v>
          </cell>
          <cell r="E197">
            <v>0</v>
          </cell>
          <cell r="F197">
            <v>0</v>
          </cell>
        </row>
        <row r="198">
          <cell r="A198" t="str">
            <v>L512</v>
          </cell>
          <cell r="B198" t="str">
            <v>상급원자력기술자</v>
          </cell>
          <cell r="C198" t="str">
            <v>인</v>
          </cell>
          <cell r="D198">
            <v>109491</v>
          </cell>
          <cell r="E198">
            <v>116994</v>
          </cell>
          <cell r="F198">
            <v>114125</v>
          </cell>
        </row>
        <row r="199">
          <cell r="A199" t="str">
            <v>L513</v>
          </cell>
          <cell r="B199" t="str">
            <v>원자력품질관리사</v>
          </cell>
          <cell r="C199" t="str">
            <v>인</v>
          </cell>
          <cell r="D199">
            <v>104799</v>
          </cell>
          <cell r="E199">
            <v>103736</v>
          </cell>
          <cell r="F199">
            <v>105586</v>
          </cell>
        </row>
        <row r="200">
          <cell r="A200" t="str">
            <v>L514</v>
          </cell>
          <cell r="B200" t="str">
            <v>원자력 특별인부</v>
          </cell>
          <cell r="C200" t="str">
            <v>인</v>
          </cell>
          <cell r="D200">
            <v>58187</v>
          </cell>
          <cell r="E200">
            <v>68094</v>
          </cell>
          <cell r="F200">
            <v>64294</v>
          </cell>
        </row>
        <row r="201">
          <cell r="A201" t="str">
            <v>L515</v>
          </cell>
          <cell r="B201" t="str">
            <v>원자력 보온공</v>
          </cell>
          <cell r="C201" t="str">
            <v>인</v>
          </cell>
          <cell r="D201">
            <v>65826</v>
          </cell>
          <cell r="E201">
            <v>83402</v>
          </cell>
          <cell r="F201">
            <v>89519</v>
          </cell>
        </row>
        <row r="202">
          <cell r="A202" t="str">
            <v>L516</v>
          </cell>
          <cell r="B202" t="str">
            <v>원자력 플랜트전공</v>
          </cell>
          <cell r="C202" t="str">
            <v>인</v>
          </cell>
          <cell r="D202">
            <v>84229</v>
          </cell>
          <cell r="E202">
            <v>93332</v>
          </cell>
          <cell r="F202">
            <v>98008</v>
          </cell>
        </row>
        <row r="203">
          <cell r="A203" t="str">
            <v>L170</v>
          </cell>
          <cell r="B203" t="str">
            <v>견 출 공</v>
          </cell>
          <cell r="C203" t="str">
            <v>인</v>
          </cell>
          <cell r="D203">
            <v>59133</v>
          </cell>
          <cell r="E203">
            <v>60023</v>
          </cell>
          <cell r="F203">
            <v>68717</v>
          </cell>
        </row>
        <row r="204">
          <cell r="A204" t="str">
            <v>L171</v>
          </cell>
          <cell r="B204" t="str">
            <v>노 즐 공</v>
          </cell>
          <cell r="C204" t="str">
            <v>인</v>
          </cell>
          <cell r="D204">
            <v>63577</v>
          </cell>
          <cell r="E204">
            <v>57373</v>
          </cell>
          <cell r="F204">
            <v>67815</v>
          </cell>
        </row>
        <row r="205">
          <cell r="A205" t="str">
            <v>L172</v>
          </cell>
          <cell r="B205" t="str">
            <v>코 킹 공</v>
          </cell>
          <cell r="C205" t="str">
            <v>인</v>
          </cell>
          <cell r="D205">
            <v>57954</v>
          </cell>
          <cell r="E205">
            <v>66077</v>
          </cell>
          <cell r="F205">
            <v>63600</v>
          </cell>
        </row>
        <row r="206">
          <cell r="A206" t="str">
            <v>L173</v>
          </cell>
          <cell r="B206" t="str">
            <v>판넬조립공</v>
          </cell>
          <cell r="C206" t="str">
            <v>인</v>
          </cell>
          <cell r="D206">
            <v>55888</v>
          </cell>
          <cell r="E206">
            <v>58782</v>
          </cell>
          <cell r="F206">
            <v>67380</v>
          </cell>
        </row>
        <row r="207">
          <cell r="A207" t="str">
            <v>L181</v>
          </cell>
          <cell r="B207" t="str">
            <v>콘크리트공(광의)</v>
          </cell>
          <cell r="C207" t="str">
            <v>인</v>
          </cell>
          <cell r="D207">
            <v>0</v>
          </cell>
          <cell r="E207">
            <v>0</v>
          </cell>
          <cell r="F207">
            <v>71078</v>
          </cell>
        </row>
        <row r="208">
          <cell r="A208" t="str">
            <v>L182</v>
          </cell>
          <cell r="B208" t="str">
            <v>지붕잇기공</v>
          </cell>
          <cell r="C208" t="str">
            <v>인</v>
          </cell>
          <cell r="D208">
            <v>68363</v>
          </cell>
          <cell r="E208">
            <v>64891</v>
          </cell>
          <cell r="F208">
            <v>69497</v>
          </cell>
        </row>
        <row r="209">
          <cell r="A209" t="str">
            <v>L801</v>
          </cell>
          <cell r="B209" t="str">
            <v>특급감리원</v>
          </cell>
          <cell r="C209" t="str">
            <v>인</v>
          </cell>
          <cell r="D209">
            <v>155637</v>
          </cell>
          <cell r="E209">
            <v>0</v>
          </cell>
          <cell r="F209">
            <v>0</v>
          </cell>
        </row>
        <row r="210">
          <cell r="A210" t="str">
            <v>L802</v>
          </cell>
          <cell r="B210" t="str">
            <v>고급감리원</v>
          </cell>
          <cell r="C210" t="str">
            <v>인</v>
          </cell>
          <cell r="D210">
            <v>124025</v>
          </cell>
          <cell r="E210">
            <v>0</v>
          </cell>
          <cell r="F210">
            <v>0</v>
          </cell>
        </row>
        <row r="211">
          <cell r="A211" t="str">
            <v>L803</v>
          </cell>
          <cell r="B211" t="str">
            <v>중급감리원</v>
          </cell>
          <cell r="C211" t="str">
            <v>인</v>
          </cell>
          <cell r="D211">
            <v>103036</v>
          </cell>
          <cell r="E211">
            <v>0</v>
          </cell>
          <cell r="F211">
            <v>0</v>
          </cell>
        </row>
        <row r="212">
          <cell r="A212" t="str">
            <v>L804</v>
          </cell>
          <cell r="B212" t="str">
            <v>초급감리원</v>
          </cell>
          <cell r="C212" t="str">
            <v>인</v>
          </cell>
          <cell r="D212">
            <v>83228</v>
          </cell>
          <cell r="E212">
            <v>0</v>
          </cell>
          <cell r="F212">
            <v>0</v>
          </cell>
        </row>
        <row r="213">
          <cell r="A213" t="str">
            <v>L901</v>
          </cell>
          <cell r="B213" t="str">
            <v>전기공사기사1급</v>
          </cell>
          <cell r="C213" t="str">
            <v>인</v>
          </cell>
          <cell r="D213">
            <v>63956</v>
          </cell>
          <cell r="E213">
            <v>0</v>
          </cell>
          <cell r="F213">
            <v>64241</v>
          </cell>
        </row>
        <row r="214">
          <cell r="A214" t="str">
            <v>L902</v>
          </cell>
          <cell r="B214" t="str">
            <v>전기공사기사2급</v>
          </cell>
          <cell r="C214" t="str">
            <v>인</v>
          </cell>
          <cell r="D214">
            <v>56130</v>
          </cell>
          <cell r="E214">
            <v>0</v>
          </cell>
          <cell r="F214">
            <v>55069</v>
          </cell>
        </row>
        <row r="215">
          <cell r="A215" t="str">
            <v>L903</v>
          </cell>
          <cell r="B215" t="str">
            <v>변전전공</v>
          </cell>
          <cell r="C215" t="str">
            <v>인</v>
          </cell>
          <cell r="D215">
            <v>85699</v>
          </cell>
          <cell r="E215">
            <v>0</v>
          </cell>
          <cell r="F215">
            <v>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사원가"/>
      <sheetName val="내역서집계표"/>
      <sheetName val="내역서99-4"/>
      <sheetName val="일위대가집계표"/>
      <sheetName val="정부노임단가"/>
      <sheetName val="단가조사서"/>
      <sheetName val="중기산출근거"/>
      <sheetName val="중기집계표"/>
      <sheetName val="중기계산"/>
      <sheetName val="주입율"/>
      <sheetName val="토공일위"/>
      <sheetName val="공통일위"/>
      <sheetName val="LW일위"/>
      <sheetName val="토공-토사"/>
      <sheetName val="풍화암굴착및상차"/>
      <sheetName val="토사운반및사토장정리"/>
      <sheetName val="풍화암운반및사토장정리"/>
      <sheetName val="가시-토사천공"/>
      <sheetName val="가시-풍화암천공"/>
      <sheetName val="가시-연암천공"/>
      <sheetName val="가시-파일박기(디젤햄머)"/>
      <sheetName val="가시-파일뽑기(진동햄머)"/>
      <sheetName val="가시-띠장설치및철거"/>
      <sheetName val="케이싱설치"/>
      <sheetName val="가시-토류판설치-버팀보"/>
      <sheetName val="가시-버팀보3"/>
      <sheetName val="가시-버팀보9"/>
      <sheetName val="어스앵카-천공(토사)"/>
      <sheetName val="어스앵카-천공(풍화암)"/>
      <sheetName val="어스앵카-천공(연암)"/>
      <sheetName val="어스앵커-pc강선"/>
      <sheetName val="어스앵커-그라우팅"/>
      <sheetName val="어스앵커-pc콘"/>
      <sheetName val="이토상차및운반"/>
      <sheetName val="SCW-파일건입(디젤햄머)"/>
      <sheetName val="RCD-STRAND PILE 압입및굴착"/>
      <sheetName val="부대공-강재운반1"/>
      <sheetName val="철근운반"/>
      <sheetName val="부대공-시멘트운반"/>
      <sheetName val="혼합골재포설및다짐"/>
      <sheetName val="노체다짐"/>
      <sheetName val="노상다짐"/>
      <sheetName val="보조기층포설"/>
      <sheetName val="아스콘기층포장"/>
      <sheetName val="아스콘표층포장"/>
      <sheetName val="프라임코팅포설"/>
      <sheetName val="텍코팅포설"/>
      <sheetName val="24"/>
      <sheetName val="☞개인진도및전화부및견적조건"/>
      <sheetName val="      ★개인별현황표(김종우기사)"/>
      <sheetName val="      주소록"/>
      <sheetName val="☞골조,철골,조적분석표"/>
      <sheetName val="      ★골조분석표(서태용대리)"/>
      <sheetName val="      골조부재별비율"/>
      <sheetName val="☞마감분석표"/>
      <sheetName val="    (주)경원건축공사비분석표"/>
      <sheetName val="    (주)경원건축공사비분석표(공)"/>
    </sheetNames>
    <sheetDataSet>
      <sheetData sheetId="0"/>
      <sheetData sheetId="1"/>
      <sheetData sheetId="2"/>
      <sheetData sheetId="3"/>
      <sheetData sheetId="4" refreshError="1">
        <row r="5">
          <cell r="D5" t="str">
            <v>(발표일:99.1.1)</v>
          </cell>
          <cell r="E5" t="str">
            <v>(발표일:98.9.1)</v>
          </cell>
          <cell r="F5" t="str">
            <v>(발표일:98.1.1)</v>
          </cell>
        </row>
        <row r="6">
          <cell r="A6" t="str">
            <v>L001</v>
          </cell>
          <cell r="B6" t="str">
            <v>갱    부</v>
          </cell>
          <cell r="C6" t="str">
            <v>인</v>
          </cell>
          <cell r="D6">
            <v>46995</v>
          </cell>
          <cell r="E6">
            <v>50308</v>
          </cell>
          <cell r="F6">
            <v>56352</v>
          </cell>
        </row>
        <row r="7">
          <cell r="A7" t="str">
            <v>L002</v>
          </cell>
          <cell r="B7" t="str">
            <v>도 목 수</v>
          </cell>
          <cell r="C7" t="str">
            <v>인</v>
          </cell>
          <cell r="D7">
            <v>0</v>
          </cell>
          <cell r="E7">
            <v>0</v>
          </cell>
          <cell r="F7">
            <v>81068</v>
          </cell>
        </row>
        <row r="8">
          <cell r="A8" t="str">
            <v>L003</v>
          </cell>
          <cell r="B8" t="str">
            <v>건축목공</v>
          </cell>
          <cell r="C8" t="str">
            <v>인</v>
          </cell>
          <cell r="D8">
            <v>62310</v>
          </cell>
          <cell r="E8">
            <v>65713</v>
          </cell>
          <cell r="F8">
            <v>71803</v>
          </cell>
        </row>
        <row r="9">
          <cell r="A9" t="str">
            <v>L004</v>
          </cell>
          <cell r="B9" t="str">
            <v>형틀목공</v>
          </cell>
          <cell r="C9" t="str">
            <v>인</v>
          </cell>
          <cell r="D9">
            <v>62603</v>
          </cell>
          <cell r="E9">
            <v>65381</v>
          </cell>
          <cell r="F9">
            <v>75306</v>
          </cell>
        </row>
        <row r="10">
          <cell r="A10" t="str">
            <v>L005</v>
          </cell>
          <cell r="B10" t="str">
            <v>창호목공</v>
          </cell>
          <cell r="C10" t="str">
            <v>인</v>
          </cell>
          <cell r="D10">
            <v>56563</v>
          </cell>
          <cell r="E10">
            <v>61043</v>
          </cell>
          <cell r="F10">
            <v>66162</v>
          </cell>
        </row>
        <row r="11">
          <cell r="A11" t="str">
            <v>L006</v>
          </cell>
          <cell r="B11" t="str">
            <v>철 골 공</v>
          </cell>
          <cell r="C11" t="str">
            <v>인</v>
          </cell>
          <cell r="D11">
            <v>60500</v>
          </cell>
          <cell r="E11">
            <v>64796</v>
          </cell>
          <cell r="F11">
            <v>73514</v>
          </cell>
        </row>
        <row r="12">
          <cell r="A12" t="str">
            <v>L007</v>
          </cell>
          <cell r="B12" t="str">
            <v>철    공</v>
          </cell>
          <cell r="C12" t="str">
            <v>인</v>
          </cell>
          <cell r="D12">
            <v>59797</v>
          </cell>
          <cell r="E12">
            <v>59917</v>
          </cell>
          <cell r="F12">
            <v>72430</v>
          </cell>
        </row>
        <row r="13">
          <cell r="A13" t="str">
            <v>L008</v>
          </cell>
          <cell r="B13" t="str">
            <v>철 근 공</v>
          </cell>
          <cell r="C13" t="str">
            <v>인</v>
          </cell>
          <cell r="D13">
            <v>65147</v>
          </cell>
          <cell r="E13">
            <v>66944</v>
          </cell>
          <cell r="F13">
            <v>77839</v>
          </cell>
        </row>
        <row r="14">
          <cell r="A14" t="str">
            <v>L009</v>
          </cell>
          <cell r="B14" t="str">
            <v>철 판 공</v>
          </cell>
          <cell r="C14" t="str">
            <v>인</v>
          </cell>
          <cell r="D14">
            <v>61774</v>
          </cell>
          <cell r="E14">
            <v>68465</v>
          </cell>
          <cell r="F14">
            <v>73217</v>
          </cell>
        </row>
        <row r="15">
          <cell r="A15" t="str">
            <v>L010</v>
          </cell>
          <cell r="B15" t="str">
            <v>셧 터 공</v>
          </cell>
          <cell r="C15" t="str">
            <v>인</v>
          </cell>
          <cell r="D15">
            <v>55318</v>
          </cell>
          <cell r="E15">
            <v>58035</v>
          </cell>
          <cell r="F15">
            <v>64659</v>
          </cell>
        </row>
        <row r="16">
          <cell r="A16" t="str">
            <v>L011</v>
          </cell>
          <cell r="B16" t="str">
            <v>샷 시 공</v>
          </cell>
          <cell r="C16" t="str">
            <v>인</v>
          </cell>
          <cell r="D16">
            <v>55318</v>
          </cell>
          <cell r="E16">
            <v>58035</v>
          </cell>
          <cell r="F16">
            <v>65647</v>
          </cell>
        </row>
        <row r="17">
          <cell r="A17" t="str">
            <v>L012</v>
          </cell>
          <cell r="B17" t="str">
            <v>절 단 공</v>
          </cell>
          <cell r="C17" t="str">
            <v>인</v>
          </cell>
          <cell r="D17">
            <v>59642</v>
          </cell>
          <cell r="E17">
            <v>67321</v>
          </cell>
          <cell r="F17">
            <v>65881</v>
          </cell>
        </row>
        <row r="18">
          <cell r="A18" t="str">
            <v>L013</v>
          </cell>
          <cell r="B18" t="str">
            <v>석    공</v>
          </cell>
          <cell r="C18" t="str">
            <v>인</v>
          </cell>
          <cell r="D18">
            <v>69257</v>
          </cell>
          <cell r="E18">
            <v>67292</v>
          </cell>
          <cell r="F18">
            <v>77005</v>
          </cell>
        </row>
        <row r="19">
          <cell r="A19" t="str">
            <v>L014</v>
          </cell>
          <cell r="B19" t="str">
            <v>특수비계공(15M이상)</v>
          </cell>
          <cell r="C19" t="str">
            <v>인</v>
          </cell>
          <cell r="D19">
            <v>78766</v>
          </cell>
          <cell r="E19">
            <v>75380</v>
          </cell>
          <cell r="F19">
            <v>85884</v>
          </cell>
        </row>
        <row r="20">
          <cell r="A20" t="str">
            <v>L015</v>
          </cell>
          <cell r="B20" t="str">
            <v>비 계 공</v>
          </cell>
          <cell r="C20" t="str">
            <v>인</v>
          </cell>
          <cell r="D20">
            <v>66531</v>
          </cell>
          <cell r="E20">
            <v>69324</v>
          </cell>
          <cell r="F20">
            <v>79467</v>
          </cell>
        </row>
        <row r="21">
          <cell r="A21" t="str">
            <v>L016</v>
          </cell>
          <cell r="B21" t="str">
            <v>동 발 공(터 널)</v>
          </cell>
          <cell r="C21" t="str">
            <v>인</v>
          </cell>
          <cell r="D21">
            <v>61285</v>
          </cell>
          <cell r="E21">
            <v>59691</v>
          </cell>
          <cell r="F21">
            <v>65485</v>
          </cell>
        </row>
        <row r="22">
          <cell r="A22" t="str">
            <v>L017</v>
          </cell>
          <cell r="B22" t="str">
            <v>조 적 공</v>
          </cell>
          <cell r="C22" t="str">
            <v>인</v>
          </cell>
          <cell r="D22">
            <v>58512</v>
          </cell>
          <cell r="E22">
            <v>58379</v>
          </cell>
          <cell r="F22">
            <v>67986</v>
          </cell>
        </row>
        <row r="23">
          <cell r="A23" t="str">
            <v>L018</v>
          </cell>
          <cell r="B23" t="str">
            <v>벽돌(블럭)제작공</v>
          </cell>
          <cell r="C23" t="str">
            <v>인</v>
          </cell>
          <cell r="D23">
            <v>56942</v>
          </cell>
          <cell r="E23">
            <v>57334</v>
          </cell>
          <cell r="F23">
            <v>61291</v>
          </cell>
        </row>
        <row r="24">
          <cell r="A24" t="str">
            <v>L019</v>
          </cell>
          <cell r="B24" t="str">
            <v>연 돌 공</v>
          </cell>
          <cell r="C24" t="str">
            <v>인</v>
          </cell>
          <cell r="D24">
            <v>58512</v>
          </cell>
          <cell r="E24">
            <v>58379</v>
          </cell>
          <cell r="F24">
            <v>72745</v>
          </cell>
        </row>
        <row r="25">
          <cell r="A25" t="str">
            <v>L020</v>
          </cell>
          <cell r="B25" t="str">
            <v>미 장 공</v>
          </cell>
          <cell r="C25" t="str">
            <v>인</v>
          </cell>
          <cell r="D25">
            <v>59451</v>
          </cell>
          <cell r="E25">
            <v>61569</v>
          </cell>
          <cell r="F25">
            <v>71283</v>
          </cell>
        </row>
        <row r="26">
          <cell r="A26" t="str">
            <v>L021</v>
          </cell>
          <cell r="B26" t="str">
            <v>방 수 공</v>
          </cell>
          <cell r="C26" t="str">
            <v>인</v>
          </cell>
          <cell r="D26">
            <v>50866</v>
          </cell>
          <cell r="E26">
            <v>51640</v>
          </cell>
          <cell r="F26">
            <v>57701</v>
          </cell>
        </row>
        <row r="27">
          <cell r="A27" t="str">
            <v>L022</v>
          </cell>
          <cell r="B27" t="str">
            <v>타 일 공</v>
          </cell>
          <cell r="C27" t="str">
            <v>인</v>
          </cell>
          <cell r="D27">
            <v>58994</v>
          </cell>
          <cell r="E27">
            <v>60706</v>
          </cell>
          <cell r="F27">
            <v>68147</v>
          </cell>
        </row>
        <row r="28">
          <cell r="A28" t="str">
            <v>L023</v>
          </cell>
          <cell r="B28" t="str">
            <v>줄 눈 공</v>
          </cell>
          <cell r="C28" t="str">
            <v>인</v>
          </cell>
          <cell r="D28">
            <v>58172</v>
          </cell>
          <cell r="E28">
            <v>55387</v>
          </cell>
          <cell r="F28">
            <v>63589</v>
          </cell>
        </row>
        <row r="29">
          <cell r="A29" t="str">
            <v>L024</v>
          </cell>
          <cell r="B29" t="str">
            <v>연 마 공</v>
          </cell>
          <cell r="C29" t="str">
            <v>인</v>
          </cell>
          <cell r="D29">
            <v>56709</v>
          </cell>
          <cell r="E29">
            <v>54957</v>
          </cell>
          <cell r="F29">
            <v>67289</v>
          </cell>
        </row>
        <row r="30">
          <cell r="A30" t="str">
            <v>L025</v>
          </cell>
          <cell r="B30" t="str">
            <v>콘크리트공</v>
          </cell>
          <cell r="C30" t="str">
            <v>인</v>
          </cell>
          <cell r="D30">
            <v>60596</v>
          </cell>
          <cell r="E30">
            <v>63605</v>
          </cell>
          <cell r="F30">
            <v>71184</v>
          </cell>
        </row>
        <row r="31">
          <cell r="A31" t="str">
            <v>L026</v>
          </cell>
          <cell r="B31" t="str">
            <v>바이브레타공</v>
          </cell>
          <cell r="C31" t="str">
            <v>인</v>
          </cell>
          <cell r="D31">
            <v>60596</v>
          </cell>
          <cell r="E31">
            <v>63605</v>
          </cell>
          <cell r="F31">
            <v>69081</v>
          </cell>
        </row>
        <row r="32">
          <cell r="A32" t="str">
            <v>L027</v>
          </cell>
          <cell r="B32" t="str">
            <v>보일러공</v>
          </cell>
          <cell r="C32" t="str">
            <v>인</v>
          </cell>
          <cell r="D32">
            <v>48190</v>
          </cell>
          <cell r="E32">
            <v>52463</v>
          </cell>
          <cell r="F32">
            <v>56787</v>
          </cell>
        </row>
        <row r="33">
          <cell r="A33" t="str">
            <v>L028</v>
          </cell>
          <cell r="B33" t="str">
            <v>배 관 공</v>
          </cell>
          <cell r="C33" t="str">
            <v>인</v>
          </cell>
          <cell r="D33">
            <v>48833</v>
          </cell>
          <cell r="E33">
            <v>52004</v>
          </cell>
          <cell r="F33">
            <v>58907</v>
          </cell>
        </row>
        <row r="34">
          <cell r="A34" t="str">
            <v>L029</v>
          </cell>
          <cell r="B34" t="str">
            <v>온 돌 공</v>
          </cell>
          <cell r="C34" t="str">
            <v>인</v>
          </cell>
          <cell r="D34">
            <v>59451</v>
          </cell>
          <cell r="E34">
            <v>61569</v>
          </cell>
          <cell r="F34">
            <v>54720</v>
          </cell>
        </row>
        <row r="35">
          <cell r="A35" t="str">
            <v>L030</v>
          </cell>
          <cell r="B35" t="str">
            <v>위 생 공</v>
          </cell>
          <cell r="C35" t="str">
            <v>인</v>
          </cell>
          <cell r="D35">
            <v>48855</v>
          </cell>
          <cell r="E35">
            <v>51145</v>
          </cell>
          <cell r="F35">
            <v>59212</v>
          </cell>
        </row>
        <row r="36">
          <cell r="A36" t="str">
            <v>L031</v>
          </cell>
          <cell r="B36" t="str">
            <v>보 온 공</v>
          </cell>
          <cell r="C36" t="str">
            <v>인</v>
          </cell>
          <cell r="D36">
            <v>49987</v>
          </cell>
          <cell r="E36">
            <v>54125</v>
          </cell>
          <cell r="F36">
            <v>63143</v>
          </cell>
        </row>
        <row r="37">
          <cell r="A37" t="str">
            <v>L032</v>
          </cell>
          <cell r="B37" t="str">
            <v>도 장 공</v>
          </cell>
          <cell r="C37" t="str">
            <v>인</v>
          </cell>
          <cell r="D37">
            <v>52915</v>
          </cell>
          <cell r="E37">
            <v>55640</v>
          </cell>
          <cell r="F37">
            <v>63038</v>
          </cell>
        </row>
        <row r="38">
          <cell r="A38" t="str">
            <v>L033</v>
          </cell>
          <cell r="B38" t="str">
            <v>내 장 공</v>
          </cell>
          <cell r="C38" t="str">
            <v>인</v>
          </cell>
          <cell r="D38">
            <v>58768</v>
          </cell>
          <cell r="E38">
            <v>59767</v>
          </cell>
          <cell r="F38">
            <v>72244</v>
          </cell>
        </row>
        <row r="39">
          <cell r="A39" t="str">
            <v>L034</v>
          </cell>
          <cell r="B39" t="str">
            <v>도 배 공</v>
          </cell>
          <cell r="C39" t="str">
            <v>인</v>
          </cell>
          <cell r="D39">
            <v>51632</v>
          </cell>
          <cell r="E39">
            <v>51201</v>
          </cell>
          <cell r="F39">
            <v>58443</v>
          </cell>
        </row>
        <row r="40">
          <cell r="A40" t="str">
            <v>L035</v>
          </cell>
          <cell r="B40" t="str">
            <v>아스타일공</v>
          </cell>
          <cell r="C40" t="str">
            <v>인</v>
          </cell>
          <cell r="D40">
            <v>58994</v>
          </cell>
          <cell r="E40">
            <v>60706</v>
          </cell>
          <cell r="F40">
            <v>71686</v>
          </cell>
        </row>
        <row r="41">
          <cell r="A41" t="str">
            <v>L036</v>
          </cell>
          <cell r="B41" t="str">
            <v>기 와 공</v>
          </cell>
          <cell r="C41" t="str">
            <v>인</v>
          </cell>
          <cell r="D41">
            <v>68363</v>
          </cell>
          <cell r="E41">
            <v>64891</v>
          </cell>
          <cell r="F41">
            <v>69476</v>
          </cell>
        </row>
        <row r="42">
          <cell r="A42" t="str">
            <v>L037</v>
          </cell>
          <cell r="B42" t="str">
            <v>슬레이트공</v>
          </cell>
          <cell r="C42" t="str">
            <v>인</v>
          </cell>
          <cell r="D42">
            <v>68363</v>
          </cell>
          <cell r="E42">
            <v>64891</v>
          </cell>
          <cell r="F42">
            <v>72727</v>
          </cell>
        </row>
        <row r="43">
          <cell r="A43" t="str">
            <v>L038</v>
          </cell>
          <cell r="B43" t="str">
            <v>화약취급공</v>
          </cell>
          <cell r="C43" t="str">
            <v>인</v>
          </cell>
          <cell r="D43">
            <v>67520</v>
          </cell>
          <cell r="E43">
            <v>60578</v>
          </cell>
          <cell r="F43">
            <v>69595</v>
          </cell>
        </row>
        <row r="44">
          <cell r="A44" t="str">
            <v>L039</v>
          </cell>
          <cell r="B44" t="str">
            <v>착 암 공</v>
          </cell>
          <cell r="C44" t="str">
            <v>인</v>
          </cell>
          <cell r="D44">
            <v>50107</v>
          </cell>
          <cell r="E44">
            <v>54279</v>
          </cell>
          <cell r="F44">
            <v>57292</v>
          </cell>
        </row>
        <row r="45">
          <cell r="A45" t="str">
            <v>L040</v>
          </cell>
          <cell r="B45" t="str">
            <v>보 안 공</v>
          </cell>
          <cell r="C45" t="str">
            <v>인</v>
          </cell>
          <cell r="D45">
            <v>41224</v>
          </cell>
          <cell r="E45">
            <v>44036</v>
          </cell>
          <cell r="F45">
            <v>41290</v>
          </cell>
        </row>
        <row r="46">
          <cell r="A46" t="str">
            <v>L041</v>
          </cell>
          <cell r="B46" t="str">
            <v>포 장 공</v>
          </cell>
          <cell r="C46" t="str">
            <v>인</v>
          </cell>
          <cell r="D46">
            <v>59695</v>
          </cell>
          <cell r="E46">
            <v>56237</v>
          </cell>
          <cell r="F46">
            <v>65494</v>
          </cell>
        </row>
        <row r="47">
          <cell r="A47" t="str">
            <v>L042</v>
          </cell>
          <cell r="B47" t="str">
            <v>포 설 공</v>
          </cell>
          <cell r="C47" t="str">
            <v>인</v>
          </cell>
          <cell r="D47">
            <v>53731</v>
          </cell>
          <cell r="E47">
            <v>54013</v>
          </cell>
          <cell r="F47">
            <v>65082</v>
          </cell>
        </row>
        <row r="48">
          <cell r="A48" t="str">
            <v>L043</v>
          </cell>
          <cell r="B48" t="str">
            <v>궤 도 공</v>
          </cell>
          <cell r="C48" t="str">
            <v>인</v>
          </cell>
          <cell r="D48">
            <v>53629</v>
          </cell>
          <cell r="E48">
            <v>62818</v>
          </cell>
          <cell r="F48">
            <v>60000</v>
          </cell>
        </row>
        <row r="49">
          <cell r="A49" t="str">
            <v>L044</v>
          </cell>
          <cell r="B49" t="str">
            <v>용 접 공(철 도)</v>
          </cell>
          <cell r="C49" t="str">
            <v>인</v>
          </cell>
          <cell r="D49">
            <v>58661</v>
          </cell>
          <cell r="E49">
            <v>55736</v>
          </cell>
          <cell r="F49">
            <v>67201</v>
          </cell>
        </row>
        <row r="50">
          <cell r="A50" t="str">
            <v>L045</v>
          </cell>
          <cell r="B50" t="str">
            <v>잠 수 부</v>
          </cell>
          <cell r="C50" t="str">
            <v>인</v>
          </cell>
          <cell r="D50">
            <v>87712</v>
          </cell>
          <cell r="E50">
            <v>73901</v>
          </cell>
          <cell r="F50">
            <v>81832</v>
          </cell>
        </row>
        <row r="51">
          <cell r="A51" t="str">
            <v>L046</v>
          </cell>
          <cell r="B51" t="str">
            <v>잠 함 공</v>
          </cell>
          <cell r="C51" t="str">
            <v>인</v>
          </cell>
          <cell r="D51">
            <v>0</v>
          </cell>
          <cell r="E51">
            <v>0</v>
          </cell>
          <cell r="F51">
            <v>0</v>
          </cell>
        </row>
        <row r="52">
          <cell r="A52" t="str">
            <v>L047</v>
          </cell>
          <cell r="B52" t="str">
            <v>보 링 공</v>
          </cell>
          <cell r="C52" t="str">
            <v>인</v>
          </cell>
          <cell r="D52">
            <v>50288</v>
          </cell>
          <cell r="E52">
            <v>53721</v>
          </cell>
          <cell r="F52">
            <v>58626</v>
          </cell>
        </row>
        <row r="53">
          <cell r="A53" t="str">
            <v>L049</v>
          </cell>
          <cell r="B53" t="str">
            <v>영림기사</v>
          </cell>
          <cell r="C53" t="str">
            <v>인</v>
          </cell>
          <cell r="D53">
            <v>0</v>
          </cell>
          <cell r="E53">
            <v>0</v>
          </cell>
          <cell r="F53">
            <v>72675</v>
          </cell>
        </row>
        <row r="54">
          <cell r="A54" t="str">
            <v>L050</v>
          </cell>
          <cell r="B54" t="str">
            <v>조 경 공</v>
          </cell>
          <cell r="C54" t="str">
            <v>인</v>
          </cell>
          <cell r="D54">
            <v>50250</v>
          </cell>
          <cell r="E54">
            <v>50321</v>
          </cell>
          <cell r="F54">
            <v>60207</v>
          </cell>
        </row>
        <row r="55">
          <cell r="A55" t="str">
            <v>L051</v>
          </cell>
          <cell r="B55" t="str">
            <v>벌 목 부</v>
          </cell>
          <cell r="C55" t="str">
            <v>인</v>
          </cell>
          <cell r="D55">
            <v>57718</v>
          </cell>
          <cell r="E55">
            <v>64902</v>
          </cell>
          <cell r="F55">
            <v>66433</v>
          </cell>
        </row>
        <row r="56">
          <cell r="A56" t="str">
            <v>L052</v>
          </cell>
          <cell r="B56" t="str">
            <v>조림인부</v>
          </cell>
          <cell r="C56" t="str">
            <v>인</v>
          </cell>
          <cell r="D56">
            <v>43854</v>
          </cell>
          <cell r="E56">
            <v>32014</v>
          </cell>
          <cell r="F56">
            <v>53688</v>
          </cell>
        </row>
        <row r="57">
          <cell r="A57" t="str">
            <v>L053</v>
          </cell>
          <cell r="B57" t="str">
            <v>플랜트 기계설치공</v>
          </cell>
          <cell r="C57" t="str">
            <v>인</v>
          </cell>
          <cell r="D57">
            <v>59903</v>
          </cell>
          <cell r="E57">
            <v>61521</v>
          </cell>
          <cell r="F57">
            <v>80805</v>
          </cell>
        </row>
        <row r="58">
          <cell r="A58" t="str">
            <v>L054</v>
          </cell>
          <cell r="B58" t="str">
            <v>플랜트 용접공</v>
          </cell>
          <cell r="C58" t="str">
            <v>인</v>
          </cell>
          <cell r="D58">
            <v>63349</v>
          </cell>
          <cell r="E58">
            <v>69101</v>
          </cell>
          <cell r="F58">
            <v>95379</v>
          </cell>
        </row>
        <row r="59">
          <cell r="A59" t="str">
            <v>L055</v>
          </cell>
          <cell r="B59" t="str">
            <v>플랜트 배관공</v>
          </cell>
          <cell r="C59" t="str">
            <v>인</v>
          </cell>
          <cell r="D59">
            <v>66377</v>
          </cell>
          <cell r="E59">
            <v>76135</v>
          </cell>
          <cell r="F59">
            <v>97219</v>
          </cell>
        </row>
        <row r="60">
          <cell r="A60" t="str">
            <v>L056</v>
          </cell>
          <cell r="B60" t="str">
            <v>플랜트 제관공</v>
          </cell>
          <cell r="C60" t="str">
            <v>인</v>
          </cell>
          <cell r="D60">
            <v>54813</v>
          </cell>
          <cell r="E60">
            <v>60834</v>
          </cell>
          <cell r="F60">
            <v>81966</v>
          </cell>
        </row>
        <row r="61">
          <cell r="A61" t="str">
            <v>L057</v>
          </cell>
          <cell r="B61" t="str">
            <v>시공측량사</v>
          </cell>
          <cell r="C61" t="str">
            <v>인</v>
          </cell>
          <cell r="D61">
            <v>44848</v>
          </cell>
          <cell r="E61">
            <v>47571</v>
          </cell>
          <cell r="F61">
            <v>58506</v>
          </cell>
        </row>
        <row r="62">
          <cell r="A62" t="str">
            <v>L058</v>
          </cell>
          <cell r="B62" t="str">
            <v>시공측량사조수</v>
          </cell>
          <cell r="C62" t="str">
            <v>인</v>
          </cell>
          <cell r="D62">
            <v>33985</v>
          </cell>
          <cell r="E62">
            <v>32619</v>
          </cell>
          <cell r="F62">
            <v>38777</v>
          </cell>
        </row>
        <row r="63">
          <cell r="A63" t="str">
            <v>L059</v>
          </cell>
          <cell r="B63" t="str">
            <v>측    부</v>
          </cell>
          <cell r="C63" t="str">
            <v>인</v>
          </cell>
          <cell r="D63">
            <v>26699</v>
          </cell>
          <cell r="E63">
            <v>32690</v>
          </cell>
          <cell r="F63">
            <v>32725</v>
          </cell>
        </row>
        <row r="64">
          <cell r="A64" t="str">
            <v>L060</v>
          </cell>
          <cell r="B64" t="str">
            <v>검 조 부</v>
          </cell>
          <cell r="C64" t="str">
            <v>인</v>
          </cell>
          <cell r="D64">
            <v>33755</v>
          </cell>
          <cell r="E64">
            <v>34098</v>
          </cell>
          <cell r="F64">
            <v>32800</v>
          </cell>
        </row>
        <row r="65">
          <cell r="A65" t="str">
            <v>L061</v>
          </cell>
          <cell r="B65" t="str">
            <v>송전전공</v>
          </cell>
          <cell r="C65" t="str">
            <v>인</v>
          </cell>
          <cell r="D65">
            <v>197482</v>
          </cell>
          <cell r="E65">
            <v>188956</v>
          </cell>
          <cell r="F65">
            <v>234733</v>
          </cell>
        </row>
        <row r="66">
          <cell r="A66" t="str">
            <v>L062</v>
          </cell>
          <cell r="B66" t="str">
            <v>배전전공</v>
          </cell>
          <cell r="C66" t="str">
            <v>인</v>
          </cell>
          <cell r="D66">
            <v>176615</v>
          </cell>
          <cell r="E66">
            <v>164094</v>
          </cell>
          <cell r="F66">
            <v>192602</v>
          </cell>
        </row>
        <row r="67">
          <cell r="A67" t="str">
            <v>L063</v>
          </cell>
          <cell r="B67" t="str">
            <v>플랜트 전공</v>
          </cell>
          <cell r="C67" t="str">
            <v>인</v>
          </cell>
          <cell r="D67">
            <v>52369</v>
          </cell>
          <cell r="E67">
            <v>54503</v>
          </cell>
          <cell r="F67">
            <v>64285</v>
          </cell>
        </row>
        <row r="68">
          <cell r="A68" t="str">
            <v>L064</v>
          </cell>
          <cell r="B68" t="str">
            <v>내선전공</v>
          </cell>
          <cell r="C68" t="str">
            <v>인</v>
          </cell>
          <cell r="D68">
            <v>47911</v>
          </cell>
          <cell r="E68">
            <v>51021</v>
          </cell>
          <cell r="F68">
            <v>57286</v>
          </cell>
        </row>
        <row r="69">
          <cell r="A69" t="str">
            <v>L065</v>
          </cell>
          <cell r="B69" t="str">
            <v>특별고압케이블전공</v>
          </cell>
          <cell r="C69" t="str">
            <v>인</v>
          </cell>
          <cell r="D69">
            <v>97565</v>
          </cell>
          <cell r="E69">
            <v>102881</v>
          </cell>
          <cell r="F69">
            <v>98463</v>
          </cell>
        </row>
        <row r="70">
          <cell r="A70" t="str">
            <v>L066</v>
          </cell>
          <cell r="B70" t="str">
            <v>고압케이블전공</v>
          </cell>
          <cell r="C70" t="str">
            <v>인</v>
          </cell>
          <cell r="D70">
            <v>66547</v>
          </cell>
          <cell r="E70">
            <v>74151</v>
          </cell>
          <cell r="F70">
            <v>74584</v>
          </cell>
        </row>
        <row r="71">
          <cell r="A71" t="str">
            <v>L067</v>
          </cell>
          <cell r="B71" t="str">
            <v>저압케이블전공</v>
          </cell>
          <cell r="C71" t="str">
            <v>인</v>
          </cell>
          <cell r="D71">
            <v>59146</v>
          </cell>
          <cell r="E71">
            <v>55486</v>
          </cell>
          <cell r="F71">
            <v>61877</v>
          </cell>
        </row>
        <row r="72">
          <cell r="A72" t="str">
            <v>L068</v>
          </cell>
          <cell r="B72" t="str">
            <v>철도신호공</v>
          </cell>
          <cell r="C72" t="str">
            <v>인</v>
          </cell>
          <cell r="D72">
            <v>79766</v>
          </cell>
          <cell r="E72">
            <v>73483</v>
          </cell>
          <cell r="F72">
            <v>88167</v>
          </cell>
        </row>
        <row r="73">
          <cell r="A73" t="str">
            <v>L069</v>
          </cell>
          <cell r="B73" t="str">
            <v>계 장 공</v>
          </cell>
          <cell r="C73" t="str">
            <v>인</v>
          </cell>
          <cell r="D73">
            <v>50009</v>
          </cell>
          <cell r="E73">
            <v>57587</v>
          </cell>
          <cell r="F73">
            <v>60822</v>
          </cell>
        </row>
        <row r="74">
          <cell r="A74" t="str">
            <v>L070</v>
          </cell>
          <cell r="B74" t="str">
            <v>전기공사기사 1급</v>
          </cell>
          <cell r="C74" t="str">
            <v>인</v>
          </cell>
          <cell r="D74">
            <v>0</v>
          </cell>
          <cell r="E74">
            <v>0</v>
          </cell>
          <cell r="F74">
            <v>64241</v>
          </cell>
        </row>
        <row r="75">
          <cell r="A75" t="str">
            <v>L071</v>
          </cell>
          <cell r="B75" t="str">
            <v>전기공사기사 2급</v>
          </cell>
          <cell r="C75" t="str">
            <v>인</v>
          </cell>
          <cell r="D75">
            <v>0</v>
          </cell>
          <cell r="E75">
            <v>0</v>
          </cell>
          <cell r="F75">
            <v>55069</v>
          </cell>
        </row>
        <row r="76">
          <cell r="A76" t="str">
            <v>L072</v>
          </cell>
          <cell r="B76" t="str">
            <v>통신외선공</v>
          </cell>
          <cell r="C76" t="str">
            <v>인</v>
          </cell>
          <cell r="D76">
            <v>73980</v>
          </cell>
          <cell r="E76">
            <v>77946</v>
          </cell>
          <cell r="F76">
            <v>89013</v>
          </cell>
        </row>
        <row r="77">
          <cell r="A77" t="str">
            <v>L073</v>
          </cell>
          <cell r="B77" t="str">
            <v>통신설비공</v>
          </cell>
          <cell r="C77" t="str">
            <v>인</v>
          </cell>
          <cell r="D77">
            <v>64758</v>
          </cell>
          <cell r="E77">
            <v>66296</v>
          </cell>
          <cell r="F77">
            <v>76852</v>
          </cell>
        </row>
        <row r="78">
          <cell r="A78" t="str">
            <v>L074</v>
          </cell>
          <cell r="B78" t="str">
            <v>통신내선공</v>
          </cell>
          <cell r="C78" t="str">
            <v>인</v>
          </cell>
          <cell r="D78">
            <v>60168</v>
          </cell>
          <cell r="E78">
            <v>63738</v>
          </cell>
          <cell r="F78">
            <v>72591</v>
          </cell>
        </row>
        <row r="79">
          <cell r="A79" t="str">
            <v>L075</v>
          </cell>
          <cell r="B79" t="str">
            <v>통신케이블공</v>
          </cell>
          <cell r="C79" t="str">
            <v>인</v>
          </cell>
          <cell r="D79">
            <v>75788</v>
          </cell>
          <cell r="E79">
            <v>80042</v>
          </cell>
          <cell r="F79">
            <v>90455</v>
          </cell>
        </row>
        <row r="80">
          <cell r="A80" t="str">
            <v>L076</v>
          </cell>
          <cell r="B80" t="str">
            <v>무선안테나공</v>
          </cell>
          <cell r="C80" t="str">
            <v>인</v>
          </cell>
          <cell r="D80">
            <v>91475</v>
          </cell>
          <cell r="E80">
            <v>97216</v>
          </cell>
          <cell r="F80">
            <v>110956</v>
          </cell>
        </row>
        <row r="81">
          <cell r="A81" t="str">
            <v>L077</v>
          </cell>
          <cell r="B81" t="str">
            <v>통신기사 1급</v>
          </cell>
          <cell r="C81" t="str">
            <v>인</v>
          </cell>
          <cell r="D81">
            <v>84229</v>
          </cell>
          <cell r="E81">
            <v>87004</v>
          </cell>
          <cell r="F81">
            <v>92723</v>
          </cell>
        </row>
        <row r="82">
          <cell r="A82" t="str">
            <v>L078</v>
          </cell>
          <cell r="B82" t="str">
            <v>통신기사 2급</v>
          </cell>
          <cell r="C82" t="str">
            <v>인</v>
          </cell>
          <cell r="D82">
            <v>79642</v>
          </cell>
          <cell r="E82">
            <v>78519</v>
          </cell>
          <cell r="F82">
            <v>82395</v>
          </cell>
        </row>
        <row r="83">
          <cell r="A83" t="str">
            <v>L079</v>
          </cell>
          <cell r="B83" t="str">
            <v>통신기능사</v>
          </cell>
          <cell r="C83" t="str">
            <v>인</v>
          </cell>
          <cell r="D83">
            <v>67759</v>
          </cell>
          <cell r="E83">
            <v>68332</v>
          </cell>
          <cell r="F83">
            <v>72194</v>
          </cell>
        </row>
        <row r="84">
          <cell r="A84" t="str">
            <v>L080</v>
          </cell>
          <cell r="B84" t="str">
            <v>수작업반장</v>
          </cell>
          <cell r="C84" t="str">
            <v>인</v>
          </cell>
          <cell r="D84">
            <v>57364</v>
          </cell>
          <cell r="E84">
            <v>54191</v>
          </cell>
          <cell r="F84">
            <v>74369</v>
          </cell>
        </row>
        <row r="85">
          <cell r="A85" t="str">
            <v>L081</v>
          </cell>
          <cell r="B85" t="str">
            <v>작업반장</v>
          </cell>
          <cell r="C85" t="str">
            <v>인</v>
          </cell>
          <cell r="D85">
            <v>57364</v>
          </cell>
          <cell r="E85">
            <v>54191</v>
          </cell>
          <cell r="F85">
            <v>60326</v>
          </cell>
        </row>
        <row r="86">
          <cell r="A86" t="str">
            <v>L082</v>
          </cell>
          <cell r="B86" t="str">
            <v>목    도</v>
          </cell>
          <cell r="C86" t="str">
            <v>인</v>
          </cell>
          <cell r="D86">
            <v>64408</v>
          </cell>
          <cell r="E86">
            <v>63010</v>
          </cell>
          <cell r="F86">
            <v>64758</v>
          </cell>
        </row>
        <row r="87">
          <cell r="A87" t="str">
            <v>L083</v>
          </cell>
          <cell r="B87" t="str">
            <v>조 력 공</v>
          </cell>
          <cell r="C87" t="str">
            <v>인</v>
          </cell>
          <cell r="D87">
            <v>39371</v>
          </cell>
          <cell r="E87">
            <v>40427</v>
          </cell>
          <cell r="F87">
            <v>48912</v>
          </cell>
        </row>
        <row r="88">
          <cell r="A88" t="str">
            <v>L084</v>
          </cell>
          <cell r="B88" t="str">
            <v>특별인부</v>
          </cell>
          <cell r="C88" t="str">
            <v>인</v>
          </cell>
          <cell r="D88">
            <v>48674</v>
          </cell>
          <cell r="E88">
            <v>49659</v>
          </cell>
          <cell r="F88">
            <v>57379</v>
          </cell>
        </row>
        <row r="89">
          <cell r="A89" t="str">
            <v>L085</v>
          </cell>
          <cell r="B89" t="str">
            <v>보통인부</v>
          </cell>
          <cell r="C89" t="str">
            <v>인</v>
          </cell>
          <cell r="D89">
            <v>33755</v>
          </cell>
          <cell r="E89">
            <v>34098</v>
          </cell>
          <cell r="F89">
            <v>37736</v>
          </cell>
        </row>
        <row r="90">
          <cell r="A90" t="str">
            <v>L086</v>
          </cell>
          <cell r="B90" t="str">
            <v>중기운전기사</v>
          </cell>
          <cell r="C90" t="str">
            <v>인</v>
          </cell>
          <cell r="D90">
            <v>53715</v>
          </cell>
          <cell r="E90">
            <v>52855</v>
          </cell>
          <cell r="F90">
            <v>56951</v>
          </cell>
        </row>
        <row r="91">
          <cell r="A91" t="str">
            <v>L087</v>
          </cell>
          <cell r="B91" t="str">
            <v>운전사(운반차)</v>
          </cell>
          <cell r="C91" t="str">
            <v>인</v>
          </cell>
          <cell r="D91">
            <v>49633</v>
          </cell>
          <cell r="E91">
            <v>53159</v>
          </cell>
          <cell r="F91">
            <v>51077</v>
          </cell>
        </row>
        <row r="92">
          <cell r="A92" t="str">
            <v>L088</v>
          </cell>
          <cell r="B92" t="str">
            <v>운전사(기  계)</v>
          </cell>
          <cell r="C92" t="str">
            <v>인</v>
          </cell>
          <cell r="D92">
            <v>45575</v>
          </cell>
          <cell r="E92">
            <v>45276</v>
          </cell>
          <cell r="F92">
            <v>54325</v>
          </cell>
        </row>
        <row r="93">
          <cell r="A93" t="str">
            <v>L089</v>
          </cell>
          <cell r="B93" t="str">
            <v>중기운전조수</v>
          </cell>
          <cell r="C93" t="str">
            <v>인</v>
          </cell>
          <cell r="D93">
            <v>40706</v>
          </cell>
          <cell r="E93">
            <v>39194</v>
          </cell>
          <cell r="F93">
            <v>42762</v>
          </cell>
        </row>
        <row r="94">
          <cell r="A94" t="str">
            <v>L090</v>
          </cell>
          <cell r="B94" t="str">
            <v>고급선원</v>
          </cell>
          <cell r="C94" t="str">
            <v>인</v>
          </cell>
          <cell r="D94">
            <v>67380</v>
          </cell>
          <cell r="E94">
            <v>63746</v>
          </cell>
          <cell r="F94">
            <v>63950</v>
          </cell>
        </row>
        <row r="95">
          <cell r="A95" t="str">
            <v>L091</v>
          </cell>
          <cell r="B95" t="str">
            <v>보통선원</v>
          </cell>
          <cell r="C95" t="str">
            <v>인</v>
          </cell>
          <cell r="D95">
            <v>52274</v>
          </cell>
          <cell r="E95">
            <v>54986</v>
          </cell>
          <cell r="F95">
            <v>49346</v>
          </cell>
        </row>
        <row r="96">
          <cell r="A96" t="str">
            <v>L092</v>
          </cell>
          <cell r="B96" t="str">
            <v>선    부</v>
          </cell>
          <cell r="C96" t="str">
            <v>인</v>
          </cell>
          <cell r="D96">
            <v>41303</v>
          </cell>
          <cell r="E96">
            <v>45267</v>
          </cell>
          <cell r="F96">
            <v>40088</v>
          </cell>
        </row>
        <row r="97">
          <cell r="A97" t="str">
            <v>L093</v>
          </cell>
          <cell r="B97" t="str">
            <v>준설선선장</v>
          </cell>
          <cell r="C97" t="str">
            <v>인</v>
          </cell>
          <cell r="D97">
            <v>77084</v>
          </cell>
          <cell r="E97">
            <v>77929</v>
          </cell>
          <cell r="F97">
            <v>79532</v>
          </cell>
        </row>
        <row r="98">
          <cell r="A98" t="str">
            <v>L094</v>
          </cell>
          <cell r="B98" t="str">
            <v>준설선기관장</v>
          </cell>
          <cell r="C98" t="str">
            <v>인</v>
          </cell>
          <cell r="D98">
            <v>65732</v>
          </cell>
          <cell r="E98">
            <v>66667</v>
          </cell>
          <cell r="F98">
            <v>70637</v>
          </cell>
        </row>
        <row r="99">
          <cell r="A99" t="str">
            <v>L095</v>
          </cell>
          <cell r="B99" t="str">
            <v>준설선기관사</v>
          </cell>
          <cell r="C99" t="str">
            <v>인</v>
          </cell>
          <cell r="D99">
            <v>62000</v>
          </cell>
          <cell r="E99">
            <v>63333</v>
          </cell>
          <cell r="F99">
            <v>56955</v>
          </cell>
        </row>
        <row r="100">
          <cell r="A100" t="str">
            <v>L096</v>
          </cell>
          <cell r="B100" t="str">
            <v>준설선운전사</v>
          </cell>
          <cell r="C100" t="str">
            <v>인</v>
          </cell>
          <cell r="D100">
            <v>64200</v>
          </cell>
          <cell r="E100">
            <v>58033</v>
          </cell>
          <cell r="F100">
            <v>66688</v>
          </cell>
        </row>
        <row r="101">
          <cell r="A101" t="str">
            <v>L097</v>
          </cell>
          <cell r="B101" t="str">
            <v>준설선전기사</v>
          </cell>
          <cell r="C101" t="str">
            <v>인</v>
          </cell>
          <cell r="D101">
            <v>66400</v>
          </cell>
          <cell r="E101">
            <v>66000</v>
          </cell>
          <cell r="F101">
            <v>63631</v>
          </cell>
        </row>
        <row r="102">
          <cell r="A102" t="str">
            <v>L098</v>
          </cell>
          <cell r="B102" t="str">
            <v>기계설치공</v>
          </cell>
          <cell r="C102" t="str">
            <v>인</v>
          </cell>
          <cell r="D102">
            <v>56925</v>
          </cell>
          <cell r="E102">
            <v>51838</v>
          </cell>
          <cell r="F102">
            <v>67415</v>
          </cell>
        </row>
        <row r="103">
          <cell r="A103" t="str">
            <v>L099</v>
          </cell>
          <cell r="B103" t="str">
            <v>기 계 공</v>
          </cell>
          <cell r="C103" t="str">
            <v>인</v>
          </cell>
          <cell r="D103">
            <v>49611</v>
          </cell>
          <cell r="E103">
            <v>49600</v>
          </cell>
          <cell r="F103">
            <v>58906</v>
          </cell>
        </row>
        <row r="104">
          <cell r="A104" t="str">
            <v>L100</v>
          </cell>
          <cell r="B104" t="str">
            <v>선 반 공</v>
          </cell>
          <cell r="C104" t="str">
            <v>인</v>
          </cell>
          <cell r="D104">
            <v>0</v>
          </cell>
          <cell r="E104">
            <v>0</v>
          </cell>
          <cell r="F104">
            <v>78752</v>
          </cell>
        </row>
        <row r="105">
          <cell r="A105" t="str">
            <v>L101</v>
          </cell>
          <cell r="B105" t="str">
            <v>정 비 공</v>
          </cell>
          <cell r="C105" t="str">
            <v>인</v>
          </cell>
          <cell r="D105">
            <v>0</v>
          </cell>
          <cell r="E105">
            <v>0</v>
          </cell>
          <cell r="F105">
            <v>52502</v>
          </cell>
        </row>
        <row r="106">
          <cell r="A106" t="str">
            <v>L102</v>
          </cell>
          <cell r="B106" t="str">
            <v>벨트콘베어작업공</v>
          </cell>
          <cell r="C106" t="str">
            <v>인</v>
          </cell>
          <cell r="D106">
            <v>0</v>
          </cell>
          <cell r="E106">
            <v>0</v>
          </cell>
          <cell r="F106">
            <v>0</v>
          </cell>
        </row>
        <row r="107">
          <cell r="A107" t="str">
            <v>L103</v>
          </cell>
          <cell r="B107" t="str">
            <v>현 도 사</v>
          </cell>
          <cell r="C107" t="str">
            <v>인</v>
          </cell>
          <cell r="D107">
            <v>66579</v>
          </cell>
          <cell r="E107">
            <v>0</v>
          </cell>
          <cell r="F107">
            <v>0</v>
          </cell>
        </row>
        <row r="108">
          <cell r="A108" t="str">
            <v>L104</v>
          </cell>
          <cell r="B108" t="str">
            <v>제 도 사</v>
          </cell>
          <cell r="C108" t="str">
            <v>인</v>
          </cell>
          <cell r="D108">
            <v>42366</v>
          </cell>
          <cell r="E108">
            <v>52957</v>
          </cell>
          <cell r="F108">
            <v>46978</v>
          </cell>
        </row>
        <row r="109">
          <cell r="A109" t="str">
            <v>L105</v>
          </cell>
          <cell r="B109" t="str">
            <v>시험사 1급</v>
          </cell>
          <cell r="C109" t="str">
            <v>인</v>
          </cell>
          <cell r="D109">
            <v>48017</v>
          </cell>
          <cell r="E109">
            <v>51959</v>
          </cell>
          <cell r="F109">
            <v>47867</v>
          </cell>
        </row>
        <row r="110">
          <cell r="A110" t="str">
            <v>L106</v>
          </cell>
          <cell r="B110" t="str">
            <v>시험사 2급</v>
          </cell>
          <cell r="C110" t="str">
            <v>인</v>
          </cell>
          <cell r="D110">
            <v>36857</v>
          </cell>
          <cell r="E110">
            <v>39935</v>
          </cell>
          <cell r="F110">
            <v>42272</v>
          </cell>
        </row>
        <row r="111">
          <cell r="A111" t="str">
            <v>L107</v>
          </cell>
          <cell r="B111" t="str">
            <v>시험사 3급</v>
          </cell>
          <cell r="C111" t="str">
            <v>인</v>
          </cell>
          <cell r="D111">
            <v>0</v>
          </cell>
          <cell r="E111">
            <v>0</v>
          </cell>
          <cell r="F111">
            <v>36667</v>
          </cell>
        </row>
        <row r="112">
          <cell r="A112" t="str">
            <v>L108</v>
          </cell>
          <cell r="B112" t="str">
            <v>시험사 4급</v>
          </cell>
          <cell r="C112" t="str">
            <v>인</v>
          </cell>
          <cell r="D112">
            <v>0</v>
          </cell>
          <cell r="E112">
            <v>0</v>
          </cell>
          <cell r="F112">
            <v>30223</v>
          </cell>
        </row>
        <row r="113">
          <cell r="A113" t="str">
            <v>L109</v>
          </cell>
          <cell r="B113" t="str">
            <v>시험보조수</v>
          </cell>
          <cell r="C113" t="str">
            <v>인</v>
          </cell>
          <cell r="D113">
            <v>29231</v>
          </cell>
          <cell r="E113">
            <v>31260</v>
          </cell>
          <cell r="F113">
            <v>31003</v>
          </cell>
        </row>
        <row r="114">
          <cell r="A114" t="str">
            <v>L110</v>
          </cell>
          <cell r="B114" t="str">
            <v>안전관리기사 1급</v>
          </cell>
          <cell r="C114" t="str">
            <v>인</v>
          </cell>
          <cell r="D114">
            <v>0</v>
          </cell>
          <cell r="E114">
            <v>0</v>
          </cell>
          <cell r="F114">
            <v>43959</v>
          </cell>
        </row>
        <row r="115">
          <cell r="A115" t="str">
            <v>L111</v>
          </cell>
          <cell r="B115" t="str">
            <v>안전관리기사 2급</v>
          </cell>
          <cell r="C115" t="str">
            <v>인</v>
          </cell>
          <cell r="D115">
            <v>0</v>
          </cell>
          <cell r="E115">
            <v>0</v>
          </cell>
          <cell r="F115">
            <v>38509</v>
          </cell>
        </row>
        <row r="116">
          <cell r="A116" t="str">
            <v>L112</v>
          </cell>
          <cell r="B116" t="str">
            <v>유 리 공</v>
          </cell>
          <cell r="C116" t="str">
            <v>인</v>
          </cell>
          <cell r="D116">
            <v>57574</v>
          </cell>
          <cell r="E116">
            <v>61877</v>
          </cell>
          <cell r="F116">
            <v>63783</v>
          </cell>
        </row>
        <row r="117">
          <cell r="A117" t="str">
            <v>L113</v>
          </cell>
          <cell r="B117" t="str">
            <v>함 석 공</v>
          </cell>
          <cell r="C117" t="str">
            <v>인</v>
          </cell>
          <cell r="D117">
            <v>56248</v>
          </cell>
          <cell r="E117">
            <v>56465</v>
          </cell>
          <cell r="F117">
            <v>68943</v>
          </cell>
        </row>
        <row r="118">
          <cell r="A118" t="str">
            <v>L114</v>
          </cell>
          <cell r="B118" t="str">
            <v>용 접 공(일 반)</v>
          </cell>
          <cell r="C118" t="str">
            <v>인</v>
          </cell>
          <cell r="D118">
            <v>60784</v>
          </cell>
          <cell r="E118">
            <v>61021</v>
          </cell>
          <cell r="F118">
            <v>74016</v>
          </cell>
        </row>
        <row r="119">
          <cell r="A119" t="str">
            <v>L115</v>
          </cell>
          <cell r="B119" t="str">
            <v>리 벳 공</v>
          </cell>
          <cell r="C119" t="str">
            <v>인</v>
          </cell>
          <cell r="D119">
            <v>60500</v>
          </cell>
          <cell r="E119">
            <v>64796</v>
          </cell>
          <cell r="F119">
            <v>71579</v>
          </cell>
        </row>
        <row r="120">
          <cell r="A120" t="str">
            <v>L116</v>
          </cell>
          <cell r="B120" t="str">
            <v>루 핑 공</v>
          </cell>
          <cell r="C120" t="str">
            <v>인</v>
          </cell>
          <cell r="D120">
            <v>50866</v>
          </cell>
          <cell r="E120">
            <v>51640</v>
          </cell>
          <cell r="F120">
            <v>57701</v>
          </cell>
        </row>
        <row r="121">
          <cell r="A121" t="str">
            <v>L117</v>
          </cell>
          <cell r="B121" t="str">
            <v>닥 트 공</v>
          </cell>
          <cell r="C121" t="str">
            <v>인</v>
          </cell>
          <cell r="D121">
            <v>48478</v>
          </cell>
          <cell r="E121">
            <v>52215</v>
          </cell>
          <cell r="F121">
            <v>58041</v>
          </cell>
        </row>
        <row r="122">
          <cell r="A122" t="str">
            <v>L118</v>
          </cell>
          <cell r="B122" t="str">
            <v>대 장 공</v>
          </cell>
          <cell r="C122" t="str">
            <v>인</v>
          </cell>
          <cell r="D122">
            <v>0</v>
          </cell>
          <cell r="E122">
            <v>0</v>
          </cell>
          <cell r="F122">
            <v>0</v>
          </cell>
        </row>
        <row r="123">
          <cell r="A123" t="str">
            <v>L119</v>
          </cell>
          <cell r="B123" t="str">
            <v>할 석 공</v>
          </cell>
          <cell r="C123" t="str">
            <v>인</v>
          </cell>
          <cell r="D123">
            <v>63951</v>
          </cell>
          <cell r="E123">
            <v>63908</v>
          </cell>
          <cell r="F123">
            <v>77728</v>
          </cell>
        </row>
        <row r="124">
          <cell r="A124" t="str">
            <v>L120</v>
          </cell>
          <cell r="B124" t="str">
            <v>제철축로공</v>
          </cell>
          <cell r="C124" t="str">
            <v>인</v>
          </cell>
          <cell r="D124">
            <v>92419</v>
          </cell>
          <cell r="E124">
            <v>93072</v>
          </cell>
          <cell r="F124">
            <v>93345</v>
          </cell>
        </row>
        <row r="125">
          <cell r="A125" t="str">
            <v>L121</v>
          </cell>
          <cell r="B125" t="str">
            <v>양 생 공</v>
          </cell>
          <cell r="C125" t="str">
            <v>인</v>
          </cell>
          <cell r="D125">
            <v>33755</v>
          </cell>
          <cell r="E125">
            <v>34098</v>
          </cell>
          <cell r="F125">
            <v>42244</v>
          </cell>
        </row>
        <row r="126">
          <cell r="A126" t="str">
            <v>L122</v>
          </cell>
          <cell r="B126" t="str">
            <v>계 령 공</v>
          </cell>
          <cell r="C126" t="str">
            <v>인</v>
          </cell>
          <cell r="D126">
            <v>52915</v>
          </cell>
          <cell r="E126">
            <v>55640</v>
          </cell>
          <cell r="F126">
            <v>0</v>
          </cell>
        </row>
        <row r="127">
          <cell r="A127" t="str">
            <v>L123</v>
          </cell>
          <cell r="B127" t="str">
            <v>사 공(배포함)</v>
          </cell>
          <cell r="C127" t="str">
            <v>인</v>
          </cell>
          <cell r="D127">
            <v>0</v>
          </cell>
          <cell r="E127">
            <v>0</v>
          </cell>
          <cell r="F127">
            <v>0</v>
          </cell>
        </row>
        <row r="128">
          <cell r="A128" t="str">
            <v>L124</v>
          </cell>
          <cell r="B128" t="str">
            <v>마 부(우마차포함)</v>
          </cell>
          <cell r="C128" t="str">
            <v>인</v>
          </cell>
          <cell r="D128">
            <v>0</v>
          </cell>
          <cell r="E128">
            <v>0</v>
          </cell>
          <cell r="F128">
            <v>0</v>
          </cell>
        </row>
        <row r="129">
          <cell r="A129" t="str">
            <v>L125</v>
          </cell>
          <cell r="B129" t="str">
            <v>제 재 공</v>
          </cell>
          <cell r="C129" t="str">
            <v>인</v>
          </cell>
          <cell r="D129">
            <v>0</v>
          </cell>
          <cell r="E129">
            <v>0</v>
          </cell>
          <cell r="F129">
            <v>0</v>
          </cell>
        </row>
        <row r="130">
          <cell r="A130" t="str">
            <v>L126</v>
          </cell>
          <cell r="B130" t="str">
            <v>철도궤도공</v>
          </cell>
          <cell r="C130" t="str">
            <v>인</v>
          </cell>
          <cell r="D130">
            <v>53629</v>
          </cell>
          <cell r="E130">
            <v>62818</v>
          </cell>
          <cell r="F130">
            <v>65636</v>
          </cell>
        </row>
        <row r="131">
          <cell r="A131" t="str">
            <v>L127</v>
          </cell>
          <cell r="B131" t="str">
            <v>지적기사 1급</v>
          </cell>
          <cell r="C131" t="str">
            <v>인</v>
          </cell>
          <cell r="D131">
            <v>91687</v>
          </cell>
          <cell r="E131">
            <v>93295</v>
          </cell>
          <cell r="F131">
            <v>93540</v>
          </cell>
        </row>
        <row r="132">
          <cell r="A132" t="str">
            <v>L128</v>
          </cell>
          <cell r="B132" t="str">
            <v>지적기사 2급</v>
          </cell>
          <cell r="C132" t="str">
            <v>인</v>
          </cell>
          <cell r="D132">
            <v>69173</v>
          </cell>
          <cell r="E132">
            <v>72840</v>
          </cell>
          <cell r="F132">
            <v>72183</v>
          </cell>
        </row>
        <row r="133">
          <cell r="A133" t="str">
            <v>L129</v>
          </cell>
          <cell r="B133" t="str">
            <v>지적기능사 1급</v>
          </cell>
          <cell r="C133" t="str">
            <v>인</v>
          </cell>
          <cell r="D133">
            <v>48878</v>
          </cell>
          <cell r="E133">
            <v>50316</v>
          </cell>
          <cell r="F133">
            <v>53062</v>
          </cell>
        </row>
        <row r="134">
          <cell r="A134" t="str">
            <v>L130</v>
          </cell>
          <cell r="B134" t="str">
            <v>지적기능사 2급</v>
          </cell>
          <cell r="C134" t="str">
            <v>인</v>
          </cell>
          <cell r="D134">
            <v>35131</v>
          </cell>
          <cell r="E134">
            <v>34731</v>
          </cell>
          <cell r="F134">
            <v>32715</v>
          </cell>
        </row>
        <row r="135">
          <cell r="A135" t="str">
            <v>L131</v>
          </cell>
          <cell r="B135" t="str">
            <v>치장벽돌공</v>
          </cell>
          <cell r="C135" t="str">
            <v>인</v>
          </cell>
          <cell r="D135">
            <v>61897</v>
          </cell>
          <cell r="E135">
            <v>64317</v>
          </cell>
          <cell r="F135">
            <v>73288</v>
          </cell>
        </row>
        <row r="136">
          <cell r="A136" t="str">
            <v>L132</v>
          </cell>
          <cell r="B136" t="str">
            <v>송전활선전공</v>
          </cell>
          <cell r="C136" t="str">
            <v>인</v>
          </cell>
          <cell r="D136">
            <v>235109</v>
          </cell>
          <cell r="E136">
            <v>250000</v>
          </cell>
          <cell r="F136">
            <v>0</v>
          </cell>
        </row>
        <row r="137">
          <cell r="A137" t="str">
            <v>L133</v>
          </cell>
          <cell r="B137" t="str">
            <v>배전활선전공</v>
          </cell>
          <cell r="C137" t="str">
            <v>인</v>
          </cell>
          <cell r="D137">
            <v>182772</v>
          </cell>
          <cell r="E137">
            <v>188915</v>
          </cell>
          <cell r="F137">
            <v>215055</v>
          </cell>
        </row>
        <row r="138">
          <cell r="A138" t="str">
            <v>L134</v>
          </cell>
          <cell r="B138" t="str">
            <v>중기조장</v>
          </cell>
          <cell r="C138" t="str">
            <v>인</v>
          </cell>
          <cell r="D138">
            <v>64260</v>
          </cell>
          <cell r="E138">
            <v>56042</v>
          </cell>
          <cell r="F138">
            <v>55484</v>
          </cell>
        </row>
        <row r="139">
          <cell r="A139" t="str">
            <v>L135</v>
          </cell>
          <cell r="B139" t="str">
            <v>모래분사공</v>
          </cell>
          <cell r="C139" t="str">
            <v>인</v>
          </cell>
          <cell r="D139">
            <v>52915</v>
          </cell>
          <cell r="E139">
            <v>55640</v>
          </cell>
          <cell r="F139">
            <v>49962</v>
          </cell>
        </row>
        <row r="140">
          <cell r="A140" t="str">
            <v>L137</v>
          </cell>
          <cell r="B140" t="str">
            <v>플랜트 특수용접공</v>
          </cell>
          <cell r="C140" t="str">
            <v>인</v>
          </cell>
          <cell r="D140">
            <v>100475</v>
          </cell>
          <cell r="E140">
            <v>93828</v>
          </cell>
          <cell r="F140">
            <v>141421</v>
          </cell>
        </row>
        <row r="141">
          <cell r="A141" t="str">
            <v>L200</v>
          </cell>
          <cell r="B141" t="str">
            <v>여자인부</v>
          </cell>
          <cell r="C141" t="str">
            <v>인</v>
          </cell>
          <cell r="D141">
            <v>0</v>
          </cell>
          <cell r="E141">
            <v>0</v>
          </cell>
          <cell r="F141">
            <v>0</v>
          </cell>
        </row>
        <row r="142">
          <cell r="A142" t="str">
            <v>L201</v>
          </cell>
          <cell r="B142" t="str">
            <v>조    공</v>
          </cell>
          <cell r="C142" t="str">
            <v>인</v>
          </cell>
          <cell r="D142">
            <v>0</v>
          </cell>
          <cell r="E142">
            <v>0</v>
          </cell>
          <cell r="F142">
            <v>0</v>
          </cell>
        </row>
        <row r="143">
          <cell r="A143" t="str">
            <v>L202</v>
          </cell>
          <cell r="B143" t="str">
            <v>포장특공</v>
          </cell>
          <cell r="C143" t="str">
            <v>인</v>
          </cell>
          <cell r="D143">
            <v>0</v>
          </cell>
          <cell r="E143">
            <v>0</v>
          </cell>
          <cell r="F143">
            <v>0</v>
          </cell>
        </row>
        <row r="144">
          <cell r="A144" t="str">
            <v>L203</v>
          </cell>
          <cell r="B144" t="str">
            <v>항 타 공</v>
          </cell>
          <cell r="C144" t="str">
            <v>인</v>
          </cell>
          <cell r="D144">
            <v>0</v>
          </cell>
          <cell r="E144">
            <v>0</v>
          </cell>
          <cell r="F144">
            <v>0</v>
          </cell>
        </row>
        <row r="145">
          <cell r="A145" t="str">
            <v>L204</v>
          </cell>
          <cell r="B145" t="str">
            <v>드 릴 공</v>
          </cell>
          <cell r="C145" t="str">
            <v>인</v>
          </cell>
          <cell r="D145">
            <v>0</v>
          </cell>
          <cell r="E145">
            <v>0</v>
          </cell>
          <cell r="F145">
            <v>0</v>
          </cell>
        </row>
        <row r="146">
          <cell r="A146" t="str">
            <v>L205</v>
          </cell>
          <cell r="B146" t="str">
            <v>WIRE MESH 설치공</v>
          </cell>
          <cell r="C146" t="str">
            <v>인</v>
          </cell>
          <cell r="D146">
            <v>0</v>
          </cell>
          <cell r="E146">
            <v>0</v>
          </cell>
          <cell r="F146">
            <v>0</v>
          </cell>
        </row>
        <row r="147">
          <cell r="A147" t="str">
            <v>L701</v>
          </cell>
          <cell r="B147" t="str">
            <v>특급기술자</v>
          </cell>
          <cell r="C147" t="str">
            <v>인</v>
          </cell>
          <cell r="D147">
            <v>132166</v>
          </cell>
          <cell r="E147">
            <v>142203</v>
          </cell>
          <cell r="F147">
            <v>142203</v>
          </cell>
        </row>
        <row r="148">
          <cell r="A148" t="str">
            <v>L702</v>
          </cell>
          <cell r="B148" t="str">
            <v>고급기술자</v>
          </cell>
          <cell r="C148" t="str">
            <v>인</v>
          </cell>
          <cell r="D148">
            <v>109695</v>
          </cell>
          <cell r="E148">
            <v>117410</v>
          </cell>
          <cell r="F148">
            <v>117410</v>
          </cell>
        </row>
        <row r="149">
          <cell r="A149" t="str">
            <v>L703</v>
          </cell>
          <cell r="B149" t="str">
            <v>중급기술자</v>
          </cell>
          <cell r="C149" t="str">
            <v>인</v>
          </cell>
          <cell r="D149">
            <v>91968</v>
          </cell>
          <cell r="E149">
            <v>97488</v>
          </cell>
          <cell r="F149">
            <v>97488</v>
          </cell>
        </row>
        <row r="150">
          <cell r="A150" t="str">
            <v>L704</v>
          </cell>
          <cell r="B150" t="str">
            <v>초급기술자</v>
          </cell>
          <cell r="C150" t="str">
            <v>인</v>
          </cell>
          <cell r="D150">
            <v>65947</v>
          </cell>
          <cell r="E150">
            <v>69405</v>
          </cell>
          <cell r="F150">
            <v>69405</v>
          </cell>
        </row>
        <row r="151">
          <cell r="A151" t="str">
            <v>L705</v>
          </cell>
          <cell r="B151" t="str">
            <v>고급기능사</v>
          </cell>
          <cell r="C151" t="str">
            <v>인</v>
          </cell>
          <cell r="D151">
            <v>67006</v>
          </cell>
          <cell r="E151">
            <v>68094</v>
          </cell>
          <cell r="F151">
            <v>68094</v>
          </cell>
        </row>
        <row r="152">
          <cell r="A152" t="str">
            <v>L706</v>
          </cell>
          <cell r="B152" t="str">
            <v>중급기능사</v>
          </cell>
          <cell r="C152" t="str">
            <v>인</v>
          </cell>
          <cell r="D152">
            <v>55830</v>
          </cell>
          <cell r="E152">
            <v>60249</v>
          </cell>
          <cell r="F152">
            <v>60249</v>
          </cell>
        </row>
        <row r="153">
          <cell r="A153" t="str">
            <v>L707</v>
          </cell>
          <cell r="B153" t="str">
            <v>초급기능사</v>
          </cell>
          <cell r="C153" t="str">
            <v>인</v>
          </cell>
          <cell r="D153">
            <v>46933</v>
          </cell>
          <cell r="E153">
            <v>48652</v>
          </cell>
          <cell r="F153">
            <v>48652</v>
          </cell>
        </row>
        <row r="154">
          <cell r="A154" t="str">
            <v>L301</v>
          </cell>
          <cell r="B154" t="str">
            <v>H/W설치기사</v>
          </cell>
          <cell r="C154" t="str">
            <v>인</v>
          </cell>
          <cell r="D154">
            <v>83297</v>
          </cell>
          <cell r="E154">
            <v>82162</v>
          </cell>
          <cell r="F154">
            <v>82913</v>
          </cell>
        </row>
        <row r="155">
          <cell r="A155" t="str">
            <v>L302</v>
          </cell>
          <cell r="B155" t="str">
            <v>H/W시험기사</v>
          </cell>
          <cell r="C155" t="str">
            <v>인</v>
          </cell>
          <cell r="D155">
            <v>85165</v>
          </cell>
          <cell r="E155">
            <v>82402</v>
          </cell>
          <cell r="F155">
            <v>84088</v>
          </cell>
        </row>
        <row r="156">
          <cell r="A156" t="str">
            <v>L303</v>
          </cell>
          <cell r="B156" t="str">
            <v>S/W시험기사</v>
          </cell>
          <cell r="C156" t="str">
            <v>인</v>
          </cell>
          <cell r="D156">
            <v>86583</v>
          </cell>
          <cell r="E156">
            <v>84693</v>
          </cell>
          <cell r="F156">
            <v>85238</v>
          </cell>
        </row>
        <row r="157">
          <cell r="A157" t="str">
            <v>L304</v>
          </cell>
          <cell r="B157" t="str">
            <v>CPU시험기사</v>
          </cell>
          <cell r="C157" t="str">
            <v>인</v>
          </cell>
          <cell r="D157">
            <v>81182</v>
          </cell>
          <cell r="E157">
            <v>79138</v>
          </cell>
          <cell r="F157">
            <v>80163</v>
          </cell>
        </row>
        <row r="158">
          <cell r="A158" t="str">
            <v>L305</v>
          </cell>
          <cell r="B158" t="str">
            <v>광통신기사</v>
          </cell>
          <cell r="C158" t="str">
            <v>인</v>
          </cell>
          <cell r="D158">
            <v>108175</v>
          </cell>
          <cell r="E158">
            <v>132875</v>
          </cell>
          <cell r="F158">
            <v>149857</v>
          </cell>
        </row>
        <row r="159">
          <cell r="A159" t="str">
            <v>L306</v>
          </cell>
          <cell r="B159" t="str">
            <v>광케이블기사</v>
          </cell>
          <cell r="C159" t="str">
            <v>인</v>
          </cell>
          <cell r="D159">
            <v>90147</v>
          </cell>
          <cell r="E159">
            <v>110336</v>
          </cell>
          <cell r="F159">
            <v>120493</v>
          </cell>
        </row>
        <row r="160">
          <cell r="A160" t="str">
            <v>L401</v>
          </cell>
          <cell r="B160" t="str">
            <v>도편수</v>
          </cell>
          <cell r="C160" t="str">
            <v>인</v>
          </cell>
          <cell r="D160">
            <v>120804</v>
          </cell>
          <cell r="E160">
            <v>131984</v>
          </cell>
          <cell r="F160">
            <v>132909</v>
          </cell>
        </row>
        <row r="161">
          <cell r="A161" t="str">
            <v>L402</v>
          </cell>
          <cell r="B161" t="str">
            <v>목조각공</v>
          </cell>
          <cell r="C161" t="str">
            <v>인</v>
          </cell>
          <cell r="D161">
            <v>109226</v>
          </cell>
          <cell r="E161">
            <v>96291</v>
          </cell>
          <cell r="F161">
            <v>95674</v>
          </cell>
        </row>
        <row r="162">
          <cell r="A162" t="str">
            <v>L403</v>
          </cell>
          <cell r="B162" t="str">
            <v>한식목공</v>
          </cell>
          <cell r="C162" t="str">
            <v>인</v>
          </cell>
          <cell r="D162">
            <v>89987</v>
          </cell>
          <cell r="E162">
            <v>87000</v>
          </cell>
          <cell r="F162">
            <v>86465</v>
          </cell>
        </row>
        <row r="163">
          <cell r="A163" t="str">
            <v>L404</v>
          </cell>
          <cell r="B163" t="str">
            <v>한식목공조공</v>
          </cell>
          <cell r="C163" t="str">
            <v>인</v>
          </cell>
          <cell r="D163">
            <v>73861</v>
          </cell>
          <cell r="E163">
            <v>69203</v>
          </cell>
          <cell r="F163">
            <v>62022</v>
          </cell>
        </row>
        <row r="164">
          <cell r="A164" t="str">
            <v>L405</v>
          </cell>
          <cell r="B164" t="str">
            <v>드잡이공</v>
          </cell>
          <cell r="C164" t="str">
            <v>인</v>
          </cell>
          <cell r="D164">
            <v>98743</v>
          </cell>
          <cell r="E164">
            <v>106667</v>
          </cell>
          <cell r="F164">
            <v>98108</v>
          </cell>
        </row>
        <row r="165">
          <cell r="A165" t="str">
            <v>L406</v>
          </cell>
          <cell r="B165" t="str">
            <v>한식와공</v>
          </cell>
          <cell r="C165" t="str">
            <v>인</v>
          </cell>
          <cell r="D165">
            <v>144566</v>
          </cell>
          <cell r="E165">
            <v>153013</v>
          </cell>
          <cell r="F165">
            <v>126465</v>
          </cell>
        </row>
        <row r="166">
          <cell r="A166" t="str">
            <v>L407</v>
          </cell>
          <cell r="B166" t="str">
            <v>한식와공조공</v>
          </cell>
          <cell r="C166" t="str">
            <v>인</v>
          </cell>
          <cell r="D166">
            <v>98830</v>
          </cell>
          <cell r="E166">
            <v>80622</v>
          </cell>
          <cell r="F166">
            <v>91058</v>
          </cell>
        </row>
        <row r="167">
          <cell r="A167" t="str">
            <v>L408</v>
          </cell>
          <cell r="B167" t="str">
            <v>석조각공</v>
          </cell>
          <cell r="C167" t="str">
            <v>인</v>
          </cell>
          <cell r="D167">
            <v>97323</v>
          </cell>
          <cell r="E167">
            <v>112022</v>
          </cell>
          <cell r="F167">
            <v>108908</v>
          </cell>
        </row>
        <row r="168">
          <cell r="A168" t="str">
            <v>L409</v>
          </cell>
          <cell r="B168" t="str">
            <v>특수화공</v>
          </cell>
          <cell r="C168" t="str">
            <v>인</v>
          </cell>
          <cell r="D168">
            <v>130909</v>
          </cell>
          <cell r="E168">
            <v>106000</v>
          </cell>
          <cell r="F168">
            <v>121264</v>
          </cell>
        </row>
        <row r="169">
          <cell r="A169" t="str">
            <v>L410</v>
          </cell>
          <cell r="B169" t="str">
            <v>화공</v>
          </cell>
          <cell r="C169" t="str">
            <v>인</v>
          </cell>
          <cell r="D169">
            <v>98506</v>
          </cell>
          <cell r="E169">
            <v>92685</v>
          </cell>
          <cell r="F169">
            <v>86801</v>
          </cell>
        </row>
        <row r="170">
          <cell r="A170" t="str">
            <v>L411</v>
          </cell>
          <cell r="B170" t="str">
            <v>한식미장공</v>
          </cell>
          <cell r="C170" t="str">
            <v>인</v>
          </cell>
          <cell r="D170">
            <v>83400</v>
          </cell>
          <cell r="E170">
            <v>78989</v>
          </cell>
          <cell r="F170">
            <v>79972</v>
          </cell>
        </row>
        <row r="171">
          <cell r="A171" t="str">
            <v>L501</v>
          </cell>
          <cell r="B171" t="str">
            <v>원자력배관공</v>
          </cell>
          <cell r="C171" t="str">
            <v>인</v>
          </cell>
          <cell r="D171">
            <v>85504</v>
          </cell>
          <cell r="E171">
            <v>84091</v>
          </cell>
          <cell r="F171">
            <v>85331</v>
          </cell>
        </row>
        <row r="172">
          <cell r="A172" t="str">
            <v>L502</v>
          </cell>
          <cell r="B172" t="str">
            <v>원자력용접공</v>
          </cell>
          <cell r="C172" t="str">
            <v>인</v>
          </cell>
          <cell r="D172">
            <v>91598</v>
          </cell>
          <cell r="E172">
            <v>97054</v>
          </cell>
          <cell r="F172">
            <v>98842</v>
          </cell>
        </row>
        <row r="173">
          <cell r="A173" t="str">
            <v>L503</v>
          </cell>
          <cell r="B173" t="str">
            <v>원자력기계설치공</v>
          </cell>
          <cell r="C173" t="str">
            <v>인</v>
          </cell>
          <cell r="D173">
            <v>95966</v>
          </cell>
          <cell r="E173">
            <v>97451</v>
          </cell>
          <cell r="F173">
            <v>98364</v>
          </cell>
        </row>
        <row r="174">
          <cell r="A174" t="str">
            <v>L504</v>
          </cell>
          <cell r="B174" t="str">
            <v>원자력덕트공</v>
          </cell>
          <cell r="C174" t="str">
            <v>인</v>
          </cell>
          <cell r="D174">
            <v>88404</v>
          </cell>
          <cell r="E174">
            <v>84386</v>
          </cell>
          <cell r="F174">
            <v>104350</v>
          </cell>
        </row>
        <row r="175">
          <cell r="A175" t="str">
            <v>L505</v>
          </cell>
          <cell r="B175" t="str">
            <v>원자력제관공</v>
          </cell>
          <cell r="C175" t="str">
            <v>인</v>
          </cell>
          <cell r="D175">
            <v>76226</v>
          </cell>
          <cell r="E175">
            <v>79640</v>
          </cell>
          <cell r="F175">
            <v>76379</v>
          </cell>
        </row>
        <row r="176">
          <cell r="A176" t="str">
            <v>L506</v>
          </cell>
          <cell r="B176" t="str">
            <v>원자력케이블공</v>
          </cell>
          <cell r="C176" t="str">
            <v>인</v>
          </cell>
          <cell r="D176">
            <v>61338</v>
          </cell>
          <cell r="E176">
            <v>66411</v>
          </cell>
          <cell r="F176">
            <v>85474</v>
          </cell>
        </row>
        <row r="177">
          <cell r="A177" t="str">
            <v>L507</v>
          </cell>
          <cell r="B177" t="str">
            <v>원자력계장공</v>
          </cell>
          <cell r="C177" t="str">
            <v>인</v>
          </cell>
          <cell r="D177">
            <v>58478</v>
          </cell>
          <cell r="E177">
            <v>48839</v>
          </cell>
          <cell r="F177">
            <v>0</v>
          </cell>
        </row>
        <row r="178">
          <cell r="A178" t="str">
            <v>L508</v>
          </cell>
          <cell r="B178" t="str">
            <v>고급원자력비파괴시험공</v>
          </cell>
          <cell r="C178" t="str">
            <v>인</v>
          </cell>
          <cell r="D178">
            <v>89172</v>
          </cell>
          <cell r="E178">
            <v>91089</v>
          </cell>
          <cell r="F178">
            <v>92315</v>
          </cell>
        </row>
        <row r="179">
          <cell r="A179" t="str">
            <v>L509</v>
          </cell>
          <cell r="B179" t="str">
            <v>특급원자력비파괴시험공</v>
          </cell>
          <cell r="C179" t="str">
            <v>인</v>
          </cell>
          <cell r="D179">
            <v>94950</v>
          </cell>
          <cell r="E179">
            <v>99701</v>
          </cell>
          <cell r="F179">
            <v>100409</v>
          </cell>
        </row>
        <row r="180">
          <cell r="A180" t="str">
            <v>L510</v>
          </cell>
          <cell r="B180" t="str">
            <v>원자력기술자</v>
          </cell>
          <cell r="C180" t="str">
            <v>인</v>
          </cell>
          <cell r="D180">
            <v>71548</v>
          </cell>
          <cell r="E180">
            <v>67556</v>
          </cell>
          <cell r="F180">
            <v>66616</v>
          </cell>
        </row>
        <row r="181">
          <cell r="A181" t="str">
            <v>L511</v>
          </cell>
          <cell r="B181" t="str">
            <v>중급원자력기술자</v>
          </cell>
          <cell r="C181" t="str">
            <v>인</v>
          </cell>
          <cell r="D181">
            <v>85398</v>
          </cell>
          <cell r="E181">
            <v>78598</v>
          </cell>
          <cell r="F181">
            <v>77992</v>
          </cell>
        </row>
        <row r="182">
          <cell r="A182" t="str">
            <v>L048</v>
          </cell>
          <cell r="B182" t="str">
            <v>우 물 공</v>
          </cell>
          <cell r="C182" t="str">
            <v>인</v>
          </cell>
          <cell r="D182">
            <v>50288</v>
          </cell>
          <cell r="E182">
            <v>53721</v>
          </cell>
          <cell r="F182">
            <v>50558</v>
          </cell>
        </row>
        <row r="183">
          <cell r="A183" t="str">
            <v>L601</v>
          </cell>
          <cell r="B183" t="str">
            <v>책임측량사</v>
          </cell>
          <cell r="C183" t="str">
            <v>인</v>
          </cell>
          <cell r="D183">
            <v>0</v>
          </cell>
          <cell r="E183">
            <v>0</v>
          </cell>
          <cell r="F183">
            <v>0</v>
          </cell>
        </row>
        <row r="184">
          <cell r="A184" t="str">
            <v>L602</v>
          </cell>
          <cell r="B184" t="str">
            <v>측지기사 1급</v>
          </cell>
          <cell r="C184" t="str">
            <v>인</v>
          </cell>
          <cell r="D184">
            <v>0</v>
          </cell>
          <cell r="E184">
            <v>0</v>
          </cell>
          <cell r="F184">
            <v>0</v>
          </cell>
        </row>
        <row r="185">
          <cell r="A185" t="str">
            <v>L603</v>
          </cell>
          <cell r="B185" t="str">
            <v>측지기사 2급</v>
          </cell>
          <cell r="C185" t="str">
            <v>인</v>
          </cell>
          <cell r="D185">
            <v>0</v>
          </cell>
          <cell r="E185">
            <v>0</v>
          </cell>
          <cell r="F185">
            <v>0</v>
          </cell>
        </row>
        <row r="186">
          <cell r="A186" t="str">
            <v>L604</v>
          </cell>
          <cell r="B186" t="str">
            <v>측량기능사 1급</v>
          </cell>
          <cell r="C186" t="str">
            <v>인</v>
          </cell>
          <cell r="D186">
            <v>0</v>
          </cell>
          <cell r="E186">
            <v>0</v>
          </cell>
          <cell r="F186">
            <v>0</v>
          </cell>
        </row>
        <row r="187">
          <cell r="A187" t="str">
            <v>L605</v>
          </cell>
          <cell r="B187" t="str">
            <v>측량기능사 또는 측량기능사 2급</v>
          </cell>
          <cell r="C187" t="str">
            <v>인</v>
          </cell>
          <cell r="D187">
            <v>0</v>
          </cell>
          <cell r="E187">
            <v>0</v>
          </cell>
          <cell r="F187">
            <v>0</v>
          </cell>
        </row>
        <row r="188">
          <cell r="A188" t="str">
            <v>L606</v>
          </cell>
          <cell r="B188" t="str">
            <v>항공사진기능사 1급(1급/2급통합)</v>
          </cell>
          <cell r="C188" t="str">
            <v>인</v>
          </cell>
          <cell r="D188">
            <v>0</v>
          </cell>
          <cell r="E188">
            <v>0</v>
          </cell>
          <cell r="F188">
            <v>0</v>
          </cell>
        </row>
        <row r="189">
          <cell r="A189" t="str">
            <v>L609</v>
          </cell>
          <cell r="B189" t="str">
            <v>도화기능사 또는 도화기능사 2급</v>
          </cell>
          <cell r="C189" t="str">
            <v>인</v>
          </cell>
          <cell r="D189">
            <v>0</v>
          </cell>
          <cell r="E189">
            <v>0</v>
          </cell>
          <cell r="F189">
            <v>0</v>
          </cell>
        </row>
        <row r="190">
          <cell r="A190" t="str">
            <v>L607</v>
          </cell>
          <cell r="B190" t="str">
            <v>항공사진기능사 또는 항공사진기능사 2급</v>
          </cell>
          <cell r="C190" t="str">
            <v>인</v>
          </cell>
          <cell r="D190">
            <v>0</v>
          </cell>
          <cell r="E190">
            <v>0</v>
          </cell>
          <cell r="F190">
            <v>0</v>
          </cell>
        </row>
        <row r="191">
          <cell r="A191" t="str">
            <v>L608</v>
          </cell>
          <cell r="B191" t="str">
            <v>도화기능사 1급(1급/2급통합)</v>
          </cell>
          <cell r="C191" t="str">
            <v>인</v>
          </cell>
          <cell r="D191">
            <v>0</v>
          </cell>
          <cell r="E191">
            <v>0</v>
          </cell>
          <cell r="F191">
            <v>0</v>
          </cell>
        </row>
        <row r="192">
          <cell r="A192" t="str">
            <v>L610</v>
          </cell>
          <cell r="B192" t="str">
            <v>지도제작기능사 1급(1급/2급통합)</v>
          </cell>
          <cell r="C192" t="str">
            <v>인</v>
          </cell>
          <cell r="D192">
            <v>0</v>
          </cell>
          <cell r="E192">
            <v>0</v>
          </cell>
          <cell r="F192">
            <v>0</v>
          </cell>
        </row>
        <row r="193">
          <cell r="A193" t="str">
            <v>L611</v>
          </cell>
          <cell r="B193" t="str">
            <v>지도제작기능사 또는 지도제작기능사 2급</v>
          </cell>
          <cell r="C193" t="str">
            <v>인</v>
          </cell>
          <cell r="D193">
            <v>0</v>
          </cell>
          <cell r="E193">
            <v>0</v>
          </cell>
          <cell r="F193">
            <v>0</v>
          </cell>
        </row>
        <row r="194">
          <cell r="A194" t="str">
            <v>L612</v>
          </cell>
          <cell r="B194" t="str">
            <v>사업용 조종사</v>
          </cell>
          <cell r="C194" t="str">
            <v>인</v>
          </cell>
          <cell r="D194">
            <v>0</v>
          </cell>
          <cell r="E194">
            <v>0</v>
          </cell>
          <cell r="F194">
            <v>0</v>
          </cell>
        </row>
        <row r="195">
          <cell r="A195" t="str">
            <v>L613</v>
          </cell>
          <cell r="B195" t="str">
            <v>항법사</v>
          </cell>
          <cell r="C195" t="str">
            <v>인</v>
          </cell>
          <cell r="D195">
            <v>0</v>
          </cell>
          <cell r="E195">
            <v>0</v>
          </cell>
          <cell r="F195">
            <v>0</v>
          </cell>
        </row>
        <row r="196">
          <cell r="A196" t="str">
            <v>L614</v>
          </cell>
          <cell r="B196" t="str">
            <v>항공정비사</v>
          </cell>
          <cell r="C196" t="str">
            <v>인</v>
          </cell>
          <cell r="D196">
            <v>0</v>
          </cell>
          <cell r="E196">
            <v>0</v>
          </cell>
          <cell r="F196">
            <v>0</v>
          </cell>
        </row>
        <row r="197">
          <cell r="A197" t="str">
            <v>L615</v>
          </cell>
          <cell r="B197" t="str">
            <v>항공사진촬영사</v>
          </cell>
          <cell r="C197" t="str">
            <v>인</v>
          </cell>
          <cell r="D197">
            <v>0</v>
          </cell>
          <cell r="E197">
            <v>0</v>
          </cell>
          <cell r="F197">
            <v>0</v>
          </cell>
        </row>
        <row r="198">
          <cell r="A198" t="str">
            <v>L512</v>
          </cell>
          <cell r="B198" t="str">
            <v>상급원자력기술자</v>
          </cell>
          <cell r="C198" t="str">
            <v>인</v>
          </cell>
          <cell r="D198">
            <v>109491</v>
          </cell>
          <cell r="E198">
            <v>116994</v>
          </cell>
          <cell r="F198">
            <v>114125</v>
          </cell>
        </row>
        <row r="199">
          <cell r="A199" t="str">
            <v>L513</v>
          </cell>
          <cell r="B199" t="str">
            <v>원자력품질관리사</v>
          </cell>
          <cell r="C199" t="str">
            <v>인</v>
          </cell>
          <cell r="D199">
            <v>104799</v>
          </cell>
          <cell r="E199">
            <v>103736</v>
          </cell>
          <cell r="F199">
            <v>105586</v>
          </cell>
        </row>
        <row r="200">
          <cell r="A200" t="str">
            <v>L514</v>
          </cell>
          <cell r="B200" t="str">
            <v>원자력 특별인부</v>
          </cell>
          <cell r="C200" t="str">
            <v>인</v>
          </cell>
          <cell r="D200">
            <v>58187</v>
          </cell>
          <cell r="E200">
            <v>68094</v>
          </cell>
          <cell r="F200">
            <v>64294</v>
          </cell>
        </row>
        <row r="201">
          <cell r="A201" t="str">
            <v>L515</v>
          </cell>
          <cell r="B201" t="str">
            <v>원자력 보온공</v>
          </cell>
          <cell r="C201" t="str">
            <v>인</v>
          </cell>
          <cell r="D201">
            <v>65826</v>
          </cell>
          <cell r="E201">
            <v>83402</v>
          </cell>
          <cell r="F201">
            <v>89519</v>
          </cell>
        </row>
        <row r="202">
          <cell r="A202" t="str">
            <v>L516</v>
          </cell>
          <cell r="B202" t="str">
            <v>원자력 플랜트전공</v>
          </cell>
          <cell r="C202" t="str">
            <v>인</v>
          </cell>
          <cell r="D202">
            <v>84229</v>
          </cell>
          <cell r="E202">
            <v>93332</v>
          </cell>
          <cell r="F202">
            <v>98008</v>
          </cell>
        </row>
        <row r="203">
          <cell r="A203" t="str">
            <v>L170</v>
          </cell>
          <cell r="B203" t="str">
            <v>견 출 공</v>
          </cell>
          <cell r="C203" t="str">
            <v>인</v>
          </cell>
          <cell r="D203">
            <v>59133</v>
          </cell>
          <cell r="E203">
            <v>60023</v>
          </cell>
          <cell r="F203">
            <v>68717</v>
          </cell>
        </row>
        <row r="204">
          <cell r="A204" t="str">
            <v>L171</v>
          </cell>
          <cell r="B204" t="str">
            <v>노 즐 공</v>
          </cell>
          <cell r="C204" t="str">
            <v>인</v>
          </cell>
          <cell r="D204">
            <v>63577</v>
          </cell>
          <cell r="E204">
            <v>57373</v>
          </cell>
          <cell r="F204">
            <v>67815</v>
          </cell>
        </row>
        <row r="205">
          <cell r="A205" t="str">
            <v>L172</v>
          </cell>
          <cell r="B205" t="str">
            <v>코 킹 공</v>
          </cell>
          <cell r="C205" t="str">
            <v>인</v>
          </cell>
          <cell r="D205">
            <v>57954</v>
          </cell>
          <cell r="E205">
            <v>66077</v>
          </cell>
          <cell r="F205">
            <v>63600</v>
          </cell>
        </row>
        <row r="206">
          <cell r="A206" t="str">
            <v>L173</v>
          </cell>
          <cell r="B206" t="str">
            <v>판넬조립공</v>
          </cell>
          <cell r="C206" t="str">
            <v>인</v>
          </cell>
          <cell r="D206">
            <v>55888</v>
          </cell>
          <cell r="E206">
            <v>58782</v>
          </cell>
          <cell r="F206">
            <v>67380</v>
          </cell>
        </row>
        <row r="207">
          <cell r="A207" t="str">
            <v>L181</v>
          </cell>
          <cell r="B207" t="str">
            <v>콘크리트공(광의)</v>
          </cell>
          <cell r="C207" t="str">
            <v>인</v>
          </cell>
          <cell r="D207">
            <v>0</v>
          </cell>
          <cell r="E207">
            <v>0</v>
          </cell>
          <cell r="F207">
            <v>71078</v>
          </cell>
        </row>
        <row r="208">
          <cell r="A208" t="str">
            <v>L182</v>
          </cell>
          <cell r="B208" t="str">
            <v>지붕잇기공</v>
          </cell>
          <cell r="C208" t="str">
            <v>인</v>
          </cell>
          <cell r="D208">
            <v>68363</v>
          </cell>
          <cell r="E208">
            <v>64891</v>
          </cell>
          <cell r="F208">
            <v>69497</v>
          </cell>
        </row>
        <row r="209">
          <cell r="A209" t="str">
            <v>L801</v>
          </cell>
          <cell r="B209" t="str">
            <v>특급감리원</v>
          </cell>
          <cell r="C209" t="str">
            <v>인</v>
          </cell>
          <cell r="D209">
            <v>155637</v>
          </cell>
          <cell r="E209">
            <v>0</v>
          </cell>
          <cell r="F209">
            <v>0</v>
          </cell>
        </row>
        <row r="210">
          <cell r="A210" t="str">
            <v>L802</v>
          </cell>
          <cell r="B210" t="str">
            <v>고급감리원</v>
          </cell>
          <cell r="C210" t="str">
            <v>인</v>
          </cell>
          <cell r="D210">
            <v>124025</v>
          </cell>
          <cell r="E210">
            <v>0</v>
          </cell>
          <cell r="F210">
            <v>0</v>
          </cell>
        </row>
        <row r="211">
          <cell r="A211" t="str">
            <v>L803</v>
          </cell>
          <cell r="B211" t="str">
            <v>중급감리원</v>
          </cell>
          <cell r="C211" t="str">
            <v>인</v>
          </cell>
          <cell r="D211">
            <v>103036</v>
          </cell>
          <cell r="E211">
            <v>0</v>
          </cell>
          <cell r="F211">
            <v>0</v>
          </cell>
        </row>
        <row r="212">
          <cell r="A212" t="str">
            <v>L804</v>
          </cell>
          <cell r="B212" t="str">
            <v>초급감리원</v>
          </cell>
          <cell r="C212" t="str">
            <v>인</v>
          </cell>
          <cell r="D212">
            <v>83228</v>
          </cell>
          <cell r="E212">
            <v>0</v>
          </cell>
          <cell r="F212">
            <v>0</v>
          </cell>
        </row>
        <row r="213">
          <cell r="A213" t="str">
            <v>L901</v>
          </cell>
          <cell r="B213" t="str">
            <v>전기공사기사1급</v>
          </cell>
          <cell r="C213" t="str">
            <v>인</v>
          </cell>
          <cell r="D213">
            <v>63956</v>
          </cell>
          <cell r="E213">
            <v>0</v>
          </cell>
          <cell r="F213">
            <v>64241</v>
          </cell>
        </row>
        <row r="214">
          <cell r="A214" t="str">
            <v>L902</v>
          </cell>
          <cell r="B214" t="str">
            <v>전기공사기사2급</v>
          </cell>
          <cell r="C214" t="str">
            <v>인</v>
          </cell>
          <cell r="D214">
            <v>56130</v>
          </cell>
          <cell r="E214">
            <v>0</v>
          </cell>
          <cell r="F214">
            <v>55069</v>
          </cell>
        </row>
        <row r="215">
          <cell r="A215" t="str">
            <v>L903</v>
          </cell>
          <cell r="B215" t="str">
            <v>변전전공</v>
          </cell>
          <cell r="C215" t="str">
            <v>인</v>
          </cell>
          <cell r="D215">
            <v>85699</v>
          </cell>
          <cell r="E215">
            <v>0</v>
          </cell>
          <cell r="F215">
            <v>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정부노임단가"/>
      <sheetName val="단가조사서"/>
      <sheetName val="공사원가"/>
      <sheetName val="내역서집계표"/>
      <sheetName val="내역서"/>
      <sheetName val="호표일위대가집계표"/>
      <sheetName val="호표일위대가"/>
      <sheetName val="중기산출근거"/>
      <sheetName val="중기집계표"/>
      <sheetName val="중기계산"/>
      <sheetName val="2.자재집계표"/>
      <sheetName val="토공-토사"/>
      <sheetName val="맹암거터파기"/>
      <sheetName val="되메우기및다짐1"/>
      <sheetName val="토사운반및사토장정리"/>
      <sheetName val="경암운반및사토장정리"/>
      <sheetName val="화강석 보조기층"/>
      <sheetName val="혼합기층 포설 및다짐 (2)"/>
      <sheetName val="보조기층 포설 및다짐"/>
      <sheetName val="아스콘기층"/>
      <sheetName val="아스콘표층"/>
      <sheetName val="프라임코팅"/>
      <sheetName val="텍코팅코팅"/>
      <sheetName val="보조기층운반"/>
      <sheetName val="철근운반"/>
      <sheetName val="흄관운반300"/>
      <sheetName val="도로경계석운반"/>
      <sheetName val="보차도경계석운반 (2)"/>
      <sheetName val="1.총괄토공"/>
      <sheetName val="2.하수터파기토공"/>
      <sheetName val="3.하수수량집계표"/>
      <sheetName val="배수관집계표-연결관"/>
      <sheetName val="연결관-300"/>
      <sheetName val="배수관집계표-오수관"/>
      <sheetName val="오수관-300"/>
      <sheetName val="맨홀집계및깊이계산서-오수"/>
      <sheetName val="오수맨홀900"/>
      <sheetName val="집수정600-600-3"/>
      <sheetName val="집수정300-400-1"/>
      <sheetName val="U형측구300×400"/>
      <sheetName val="4.맹암거집계표"/>
      <sheetName val="맹암거 토공"/>
      <sheetName val="맹암거100"/>
      <sheetName val="맹암거200"/>
      <sheetName val="맹암거300"/>
      <sheetName val="5.포장공사수량집계표"/>
      <sheetName val="화강석"/>
      <sheetName val="보차도경계석"/>
      <sheetName val="도로경계석 (2)"/>
      <sheetName val="L형측구"/>
      <sheetName val="아스팔트포장"/>
    </sheetNames>
    <sheetDataSet>
      <sheetData sheetId="0" refreshError="1">
        <row r="5">
          <cell r="D5" t="str">
            <v>(발표일:99.1.1)</v>
          </cell>
          <cell r="E5" t="str">
            <v>(발표일:98.9.1)</v>
          </cell>
          <cell r="F5" t="str">
            <v>(발표일:98.1.1)</v>
          </cell>
        </row>
        <row r="6">
          <cell r="A6" t="str">
            <v>L001</v>
          </cell>
          <cell r="B6" t="str">
            <v>갱    부</v>
          </cell>
          <cell r="C6" t="str">
            <v>인</v>
          </cell>
          <cell r="D6">
            <v>46995</v>
          </cell>
          <cell r="E6">
            <v>50308</v>
          </cell>
          <cell r="F6">
            <v>56352</v>
          </cell>
        </row>
        <row r="7">
          <cell r="A7" t="str">
            <v>L002</v>
          </cell>
          <cell r="B7" t="str">
            <v>도 목 수</v>
          </cell>
          <cell r="C7" t="str">
            <v>인</v>
          </cell>
          <cell r="D7">
            <v>0</v>
          </cell>
          <cell r="E7">
            <v>0</v>
          </cell>
          <cell r="F7">
            <v>81068</v>
          </cell>
        </row>
        <row r="8">
          <cell r="A8" t="str">
            <v>L003</v>
          </cell>
          <cell r="B8" t="str">
            <v>건축목공</v>
          </cell>
          <cell r="C8" t="str">
            <v>인</v>
          </cell>
          <cell r="D8">
            <v>62310</v>
          </cell>
          <cell r="E8">
            <v>65713</v>
          </cell>
          <cell r="F8">
            <v>71803</v>
          </cell>
        </row>
        <row r="9">
          <cell r="A9" t="str">
            <v>L004</v>
          </cell>
          <cell r="B9" t="str">
            <v>형틀목공</v>
          </cell>
          <cell r="C9" t="str">
            <v>인</v>
          </cell>
          <cell r="D9">
            <v>62603</v>
          </cell>
          <cell r="E9">
            <v>65381</v>
          </cell>
          <cell r="F9">
            <v>75306</v>
          </cell>
        </row>
        <row r="10">
          <cell r="A10" t="str">
            <v>L005</v>
          </cell>
          <cell r="B10" t="str">
            <v>창호목공</v>
          </cell>
          <cell r="C10" t="str">
            <v>인</v>
          </cell>
          <cell r="D10">
            <v>56563</v>
          </cell>
          <cell r="E10">
            <v>61043</v>
          </cell>
          <cell r="F10">
            <v>66162</v>
          </cell>
        </row>
        <row r="11">
          <cell r="A11" t="str">
            <v>L006</v>
          </cell>
          <cell r="B11" t="str">
            <v>철 골 공</v>
          </cell>
          <cell r="C11" t="str">
            <v>인</v>
          </cell>
          <cell r="D11">
            <v>60500</v>
          </cell>
          <cell r="E11">
            <v>64796</v>
          </cell>
          <cell r="F11">
            <v>73514</v>
          </cell>
        </row>
        <row r="12">
          <cell r="A12" t="str">
            <v>L007</v>
          </cell>
          <cell r="B12" t="str">
            <v>철    공</v>
          </cell>
          <cell r="C12" t="str">
            <v>인</v>
          </cell>
          <cell r="D12">
            <v>59797</v>
          </cell>
          <cell r="E12">
            <v>59917</v>
          </cell>
          <cell r="F12">
            <v>72430</v>
          </cell>
        </row>
        <row r="13">
          <cell r="A13" t="str">
            <v>L008</v>
          </cell>
          <cell r="B13" t="str">
            <v>철 근 공</v>
          </cell>
          <cell r="C13" t="str">
            <v>인</v>
          </cell>
          <cell r="D13">
            <v>65147</v>
          </cell>
          <cell r="E13">
            <v>66944</v>
          </cell>
          <cell r="F13">
            <v>77839</v>
          </cell>
        </row>
        <row r="14">
          <cell r="A14" t="str">
            <v>L009</v>
          </cell>
          <cell r="B14" t="str">
            <v>철 판 공</v>
          </cell>
          <cell r="C14" t="str">
            <v>인</v>
          </cell>
          <cell r="D14">
            <v>61774</v>
          </cell>
          <cell r="E14">
            <v>68465</v>
          </cell>
          <cell r="F14">
            <v>73217</v>
          </cell>
        </row>
        <row r="15">
          <cell r="A15" t="str">
            <v>L010</v>
          </cell>
          <cell r="B15" t="str">
            <v>셧 터 공</v>
          </cell>
          <cell r="C15" t="str">
            <v>인</v>
          </cell>
          <cell r="D15">
            <v>55318</v>
          </cell>
          <cell r="E15">
            <v>58035</v>
          </cell>
          <cell r="F15">
            <v>64659</v>
          </cell>
        </row>
        <row r="16">
          <cell r="A16" t="str">
            <v>L011</v>
          </cell>
          <cell r="B16" t="str">
            <v>샷 시 공</v>
          </cell>
          <cell r="C16" t="str">
            <v>인</v>
          </cell>
          <cell r="D16">
            <v>55318</v>
          </cell>
          <cell r="E16">
            <v>58035</v>
          </cell>
          <cell r="F16">
            <v>65647</v>
          </cell>
        </row>
        <row r="17">
          <cell r="A17" t="str">
            <v>L012</v>
          </cell>
          <cell r="B17" t="str">
            <v>절 단 공</v>
          </cell>
          <cell r="C17" t="str">
            <v>인</v>
          </cell>
          <cell r="D17">
            <v>59642</v>
          </cell>
          <cell r="E17">
            <v>67321</v>
          </cell>
          <cell r="F17">
            <v>65881</v>
          </cell>
        </row>
        <row r="18">
          <cell r="A18" t="str">
            <v>L013</v>
          </cell>
          <cell r="B18" t="str">
            <v>석    공</v>
          </cell>
          <cell r="C18" t="str">
            <v>인</v>
          </cell>
          <cell r="D18">
            <v>69257</v>
          </cell>
          <cell r="E18">
            <v>67292</v>
          </cell>
          <cell r="F18">
            <v>77005</v>
          </cell>
        </row>
        <row r="19">
          <cell r="A19" t="str">
            <v>L014</v>
          </cell>
          <cell r="B19" t="str">
            <v>특수비계공(15M이상)</v>
          </cell>
          <cell r="C19" t="str">
            <v>인</v>
          </cell>
          <cell r="D19">
            <v>78766</v>
          </cell>
          <cell r="E19">
            <v>75380</v>
          </cell>
          <cell r="F19">
            <v>85884</v>
          </cell>
        </row>
        <row r="20">
          <cell r="A20" t="str">
            <v>L015</v>
          </cell>
          <cell r="B20" t="str">
            <v>비 계 공</v>
          </cell>
          <cell r="C20" t="str">
            <v>인</v>
          </cell>
          <cell r="D20">
            <v>66531</v>
          </cell>
          <cell r="E20">
            <v>69324</v>
          </cell>
          <cell r="F20">
            <v>79467</v>
          </cell>
        </row>
        <row r="21">
          <cell r="A21" t="str">
            <v>L016</v>
          </cell>
          <cell r="B21" t="str">
            <v>동 발 공(터 널)</v>
          </cell>
          <cell r="C21" t="str">
            <v>인</v>
          </cell>
          <cell r="D21">
            <v>61285</v>
          </cell>
          <cell r="E21">
            <v>59691</v>
          </cell>
          <cell r="F21">
            <v>65485</v>
          </cell>
        </row>
        <row r="22">
          <cell r="A22" t="str">
            <v>L017</v>
          </cell>
          <cell r="B22" t="str">
            <v>조 적 공</v>
          </cell>
          <cell r="C22" t="str">
            <v>인</v>
          </cell>
          <cell r="D22">
            <v>58512</v>
          </cell>
          <cell r="E22">
            <v>58379</v>
          </cell>
          <cell r="F22">
            <v>67986</v>
          </cell>
        </row>
        <row r="23">
          <cell r="A23" t="str">
            <v>L018</v>
          </cell>
          <cell r="B23" t="str">
            <v>벽돌(블럭)제작공</v>
          </cell>
          <cell r="C23" t="str">
            <v>인</v>
          </cell>
          <cell r="D23">
            <v>56942</v>
          </cell>
          <cell r="E23">
            <v>57334</v>
          </cell>
          <cell r="F23">
            <v>61291</v>
          </cell>
        </row>
        <row r="24">
          <cell r="A24" t="str">
            <v>L019</v>
          </cell>
          <cell r="B24" t="str">
            <v>연 돌 공</v>
          </cell>
          <cell r="C24" t="str">
            <v>인</v>
          </cell>
          <cell r="D24">
            <v>58512</v>
          </cell>
          <cell r="E24">
            <v>58379</v>
          </cell>
          <cell r="F24">
            <v>72745</v>
          </cell>
        </row>
        <row r="25">
          <cell r="A25" t="str">
            <v>L020</v>
          </cell>
          <cell r="B25" t="str">
            <v>미 장 공</v>
          </cell>
          <cell r="C25" t="str">
            <v>인</v>
          </cell>
          <cell r="D25">
            <v>59451</v>
          </cell>
          <cell r="E25">
            <v>61569</v>
          </cell>
          <cell r="F25">
            <v>71283</v>
          </cell>
        </row>
        <row r="26">
          <cell r="A26" t="str">
            <v>L021</v>
          </cell>
          <cell r="B26" t="str">
            <v>방 수 공</v>
          </cell>
          <cell r="C26" t="str">
            <v>인</v>
          </cell>
          <cell r="D26">
            <v>50866</v>
          </cell>
          <cell r="E26">
            <v>51640</v>
          </cell>
          <cell r="F26">
            <v>57701</v>
          </cell>
        </row>
        <row r="27">
          <cell r="A27" t="str">
            <v>L022</v>
          </cell>
          <cell r="B27" t="str">
            <v>타 일 공</v>
          </cell>
          <cell r="C27" t="str">
            <v>인</v>
          </cell>
          <cell r="D27">
            <v>58994</v>
          </cell>
          <cell r="E27">
            <v>60706</v>
          </cell>
          <cell r="F27">
            <v>68147</v>
          </cell>
        </row>
        <row r="28">
          <cell r="A28" t="str">
            <v>L023</v>
          </cell>
          <cell r="B28" t="str">
            <v>줄 눈 공</v>
          </cell>
          <cell r="C28" t="str">
            <v>인</v>
          </cell>
          <cell r="D28">
            <v>58172</v>
          </cell>
          <cell r="E28">
            <v>55387</v>
          </cell>
          <cell r="F28">
            <v>63589</v>
          </cell>
        </row>
        <row r="29">
          <cell r="A29" t="str">
            <v>L024</v>
          </cell>
          <cell r="B29" t="str">
            <v>연 마 공</v>
          </cell>
          <cell r="C29" t="str">
            <v>인</v>
          </cell>
          <cell r="D29">
            <v>56709</v>
          </cell>
          <cell r="E29">
            <v>54957</v>
          </cell>
          <cell r="F29">
            <v>67289</v>
          </cell>
        </row>
        <row r="30">
          <cell r="A30" t="str">
            <v>L025</v>
          </cell>
          <cell r="B30" t="str">
            <v>콘크리트공</v>
          </cell>
          <cell r="C30" t="str">
            <v>인</v>
          </cell>
          <cell r="D30">
            <v>60596</v>
          </cell>
          <cell r="E30">
            <v>63605</v>
          </cell>
          <cell r="F30">
            <v>71184</v>
          </cell>
        </row>
        <row r="31">
          <cell r="A31" t="str">
            <v>L026</v>
          </cell>
          <cell r="B31" t="str">
            <v>바이브레타공</v>
          </cell>
          <cell r="C31" t="str">
            <v>인</v>
          </cell>
          <cell r="D31">
            <v>60596</v>
          </cell>
          <cell r="E31">
            <v>63605</v>
          </cell>
          <cell r="F31">
            <v>69081</v>
          </cell>
        </row>
        <row r="32">
          <cell r="A32" t="str">
            <v>L027</v>
          </cell>
          <cell r="B32" t="str">
            <v>보일러공</v>
          </cell>
          <cell r="C32" t="str">
            <v>인</v>
          </cell>
          <cell r="D32">
            <v>48190</v>
          </cell>
          <cell r="E32">
            <v>52463</v>
          </cell>
          <cell r="F32">
            <v>56787</v>
          </cell>
        </row>
        <row r="33">
          <cell r="A33" t="str">
            <v>L028</v>
          </cell>
          <cell r="B33" t="str">
            <v>배 관 공</v>
          </cell>
          <cell r="C33" t="str">
            <v>인</v>
          </cell>
          <cell r="D33">
            <v>48833</v>
          </cell>
          <cell r="E33">
            <v>52004</v>
          </cell>
          <cell r="F33">
            <v>58907</v>
          </cell>
        </row>
        <row r="34">
          <cell r="A34" t="str">
            <v>L029</v>
          </cell>
          <cell r="B34" t="str">
            <v>온 돌 공</v>
          </cell>
          <cell r="C34" t="str">
            <v>인</v>
          </cell>
          <cell r="D34">
            <v>59451</v>
          </cell>
          <cell r="E34">
            <v>61569</v>
          </cell>
          <cell r="F34">
            <v>54720</v>
          </cell>
        </row>
        <row r="35">
          <cell r="A35" t="str">
            <v>L030</v>
          </cell>
          <cell r="B35" t="str">
            <v>위 생 공</v>
          </cell>
          <cell r="C35" t="str">
            <v>인</v>
          </cell>
          <cell r="D35">
            <v>48855</v>
          </cell>
          <cell r="E35">
            <v>51145</v>
          </cell>
          <cell r="F35">
            <v>59212</v>
          </cell>
        </row>
        <row r="36">
          <cell r="A36" t="str">
            <v>L031</v>
          </cell>
          <cell r="B36" t="str">
            <v>보 온 공</v>
          </cell>
          <cell r="C36" t="str">
            <v>인</v>
          </cell>
          <cell r="D36">
            <v>49987</v>
          </cell>
          <cell r="E36">
            <v>54125</v>
          </cell>
          <cell r="F36">
            <v>63143</v>
          </cell>
        </row>
        <row r="37">
          <cell r="A37" t="str">
            <v>L032</v>
          </cell>
          <cell r="B37" t="str">
            <v>도 장 공</v>
          </cell>
          <cell r="C37" t="str">
            <v>인</v>
          </cell>
          <cell r="D37">
            <v>52915</v>
          </cell>
          <cell r="E37">
            <v>55640</v>
          </cell>
          <cell r="F37">
            <v>63038</v>
          </cell>
        </row>
        <row r="38">
          <cell r="A38" t="str">
            <v>L033</v>
          </cell>
          <cell r="B38" t="str">
            <v>내 장 공</v>
          </cell>
          <cell r="C38" t="str">
            <v>인</v>
          </cell>
          <cell r="D38">
            <v>58768</v>
          </cell>
          <cell r="E38">
            <v>59767</v>
          </cell>
          <cell r="F38">
            <v>72244</v>
          </cell>
        </row>
        <row r="39">
          <cell r="A39" t="str">
            <v>L034</v>
          </cell>
          <cell r="B39" t="str">
            <v>도 배 공</v>
          </cell>
          <cell r="C39" t="str">
            <v>인</v>
          </cell>
          <cell r="D39">
            <v>51632</v>
          </cell>
          <cell r="E39">
            <v>51201</v>
          </cell>
          <cell r="F39">
            <v>58443</v>
          </cell>
        </row>
        <row r="40">
          <cell r="A40" t="str">
            <v>L035</v>
          </cell>
          <cell r="B40" t="str">
            <v>아스타일공</v>
          </cell>
          <cell r="C40" t="str">
            <v>인</v>
          </cell>
          <cell r="D40">
            <v>58994</v>
          </cell>
          <cell r="E40">
            <v>60706</v>
          </cell>
          <cell r="F40">
            <v>71686</v>
          </cell>
        </row>
        <row r="41">
          <cell r="A41" t="str">
            <v>L036</v>
          </cell>
          <cell r="B41" t="str">
            <v>기 와 공</v>
          </cell>
          <cell r="C41" t="str">
            <v>인</v>
          </cell>
          <cell r="D41">
            <v>68363</v>
          </cell>
          <cell r="E41">
            <v>64891</v>
          </cell>
          <cell r="F41">
            <v>69476</v>
          </cell>
        </row>
        <row r="42">
          <cell r="A42" t="str">
            <v>L037</v>
          </cell>
          <cell r="B42" t="str">
            <v>슬레이트공</v>
          </cell>
          <cell r="C42" t="str">
            <v>인</v>
          </cell>
          <cell r="D42">
            <v>68363</v>
          </cell>
          <cell r="E42">
            <v>64891</v>
          </cell>
          <cell r="F42">
            <v>72727</v>
          </cell>
        </row>
        <row r="43">
          <cell r="A43" t="str">
            <v>L038</v>
          </cell>
          <cell r="B43" t="str">
            <v>화약취급공</v>
          </cell>
          <cell r="C43" t="str">
            <v>인</v>
          </cell>
          <cell r="D43">
            <v>67520</v>
          </cell>
          <cell r="E43">
            <v>60578</v>
          </cell>
          <cell r="F43">
            <v>69595</v>
          </cell>
        </row>
        <row r="44">
          <cell r="A44" t="str">
            <v>L039</v>
          </cell>
          <cell r="B44" t="str">
            <v>착 암 공</v>
          </cell>
          <cell r="C44" t="str">
            <v>인</v>
          </cell>
          <cell r="D44">
            <v>50107</v>
          </cell>
          <cell r="E44">
            <v>54279</v>
          </cell>
          <cell r="F44">
            <v>57292</v>
          </cell>
        </row>
        <row r="45">
          <cell r="A45" t="str">
            <v>L040</v>
          </cell>
          <cell r="B45" t="str">
            <v>보 안 공</v>
          </cell>
          <cell r="C45" t="str">
            <v>인</v>
          </cell>
          <cell r="D45">
            <v>41224</v>
          </cell>
          <cell r="E45">
            <v>44036</v>
          </cell>
          <cell r="F45">
            <v>41290</v>
          </cell>
        </row>
        <row r="46">
          <cell r="A46" t="str">
            <v>L041</v>
          </cell>
          <cell r="B46" t="str">
            <v>포 장 공</v>
          </cell>
          <cell r="C46" t="str">
            <v>인</v>
          </cell>
          <cell r="D46">
            <v>59695</v>
          </cell>
          <cell r="E46">
            <v>56237</v>
          </cell>
          <cell r="F46">
            <v>65494</v>
          </cell>
        </row>
        <row r="47">
          <cell r="A47" t="str">
            <v>L042</v>
          </cell>
          <cell r="B47" t="str">
            <v>포 설 공</v>
          </cell>
          <cell r="C47" t="str">
            <v>인</v>
          </cell>
          <cell r="D47">
            <v>53731</v>
          </cell>
          <cell r="E47">
            <v>54013</v>
          </cell>
          <cell r="F47">
            <v>65082</v>
          </cell>
        </row>
        <row r="48">
          <cell r="A48" t="str">
            <v>L043</v>
          </cell>
          <cell r="B48" t="str">
            <v>궤 도 공</v>
          </cell>
          <cell r="C48" t="str">
            <v>인</v>
          </cell>
          <cell r="D48">
            <v>53629</v>
          </cell>
          <cell r="E48">
            <v>62818</v>
          </cell>
          <cell r="F48">
            <v>60000</v>
          </cell>
        </row>
        <row r="49">
          <cell r="A49" t="str">
            <v>L044</v>
          </cell>
          <cell r="B49" t="str">
            <v>용 접 공(철 도)</v>
          </cell>
          <cell r="C49" t="str">
            <v>인</v>
          </cell>
          <cell r="D49">
            <v>58661</v>
          </cell>
          <cell r="E49">
            <v>55736</v>
          </cell>
          <cell r="F49">
            <v>67201</v>
          </cell>
        </row>
        <row r="50">
          <cell r="A50" t="str">
            <v>L045</v>
          </cell>
          <cell r="B50" t="str">
            <v>잠 수 부</v>
          </cell>
          <cell r="C50" t="str">
            <v>인</v>
          </cell>
          <cell r="D50">
            <v>87712</v>
          </cell>
          <cell r="E50">
            <v>73901</v>
          </cell>
          <cell r="F50">
            <v>81832</v>
          </cell>
        </row>
        <row r="51">
          <cell r="A51" t="str">
            <v>L046</v>
          </cell>
          <cell r="B51" t="str">
            <v>잠 함 공</v>
          </cell>
          <cell r="C51" t="str">
            <v>인</v>
          </cell>
          <cell r="D51">
            <v>0</v>
          </cell>
          <cell r="E51">
            <v>0</v>
          </cell>
          <cell r="F51">
            <v>0</v>
          </cell>
        </row>
        <row r="52">
          <cell r="A52" t="str">
            <v>L047</v>
          </cell>
          <cell r="B52" t="str">
            <v>보 링 공</v>
          </cell>
          <cell r="C52" t="str">
            <v>인</v>
          </cell>
          <cell r="D52">
            <v>50288</v>
          </cell>
          <cell r="E52">
            <v>53721</v>
          </cell>
          <cell r="F52">
            <v>58626</v>
          </cell>
        </row>
        <row r="53">
          <cell r="A53" t="str">
            <v>L049</v>
          </cell>
          <cell r="B53" t="str">
            <v>영림기사</v>
          </cell>
          <cell r="C53" t="str">
            <v>인</v>
          </cell>
          <cell r="D53">
            <v>0</v>
          </cell>
          <cell r="E53">
            <v>0</v>
          </cell>
          <cell r="F53">
            <v>72675</v>
          </cell>
        </row>
        <row r="54">
          <cell r="A54" t="str">
            <v>L050</v>
          </cell>
          <cell r="B54" t="str">
            <v>조 경 공</v>
          </cell>
          <cell r="C54" t="str">
            <v>인</v>
          </cell>
          <cell r="D54">
            <v>50250</v>
          </cell>
          <cell r="E54">
            <v>50321</v>
          </cell>
          <cell r="F54">
            <v>60207</v>
          </cell>
        </row>
        <row r="55">
          <cell r="A55" t="str">
            <v>L051</v>
          </cell>
          <cell r="B55" t="str">
            <v>벌 목 부</v>
          </cell>
          <cell r="C55" t="str">
            <v>인</v>
          </cell>
          <cell r="D55">
            <v>57718</v>
          </cell>
          <cell r="E55">
            <v>64902</v>
          </cell>
          <cell r="F55">
            <v>66433</v>
          </cell>
        </row>
        <row r="56">
          <cell r="A56" t="str">
            <v>L052</v>
          </cell>
          <cell r="B56" t="str">
            <v>조림인부</v>
          </cell>
          <cell r="C56" t="str">
            <v>인</v>
          </cell>
          <cell r="D56">
            <v>43854</v>
          </cell>
          <cell r="E56">
            <v>32014</v>
          </cell>
          <cell r="F56">
            <v>53688</v>
          </cell>
        </row>
        <row r="57">
          <cell r="A57" t="str">
            <v>L053</v>
          </cell>
          <cell r="B57" t="str">
            <v>플랜트 기계설치공</v>
          </cell>
          <cell r="C57" t="str">
            <v>인</v>
          </cell>
          <cell r="D57">
            <v>59903</v>
          </cell>
          <cell r="E57">
            <v>61521</v>
          </cell>
          <cell r="F57">
            <v>80805</v>
          </cell>
        </row>
        <row r="58">
          <cell r="A58" t="str">
            <v>L054</v>
          </cell>
          <cell r="B58" t="str">
            <v>플랜트 용접공</v>
          </cell>
          <cell r="C58" t="str">
            <v>인</v>
          </cell>
          <cell r="D58">
            <v>63349</v>
          </cell>
          <cell r="E58">
            <v>69101</v>
          </cell>
          <cell r="F58">
            <v>95379</v>
          </cell>
        </row>
        <row r="59">
          <cell r="A59" t="str">
            <v>L055</v>
          </cell>
          <cell r="B59" t="str">
            <v>플랜트 배관공</v>
          </cell>
          <cell r="C59" t="str">
            <v>인</v>
          </cell>
          <cell r="D59">
            <v>66377</v>
          </cell>
          <cell r="E59">
            <v>76135</v>
          </cell>
          <cell r="F59">
            <v>97219</v>
          </cell>
        </row>
        <row r="60">
          <cell r="A60" t="str">
            <v>L056</v>
          </cell>
          <cell r="B60" t="str">
            <v>플랜트 제관공</v>
          </cell>
          <cell r="C60" t="str">
            <v>인</v>
          </cell>
          <cell r="D60">
            <v>54813</v>
          </cell>
          <cell r="E60">
            <v>60834</v>
          </cell>
          <cell r="F60">
            <v>81966</v>
          </cell>
        </row>
        <row r="61">
          <cell r="A61" t="str">
            <v>L057</v>
          </cell>
          <cell r="B61" t="str">
            <v>시공측량사</v>
          </cell>
          <cell r="C61" t="str">
            <v>인</v>
          </cell>
          <cell r="D61">
            <v>44848</v>
          </cell>
          <cell r="E61">
            <v>47571</v>
          </cell>
          <cell r="F61">
            <v>58506</v>
          </cell>
        </row>
        <row r="62">
          <cell r="A62" t="str">
            <v>L058</v>
          </cell>
          <cell r="B62" t="str">
            <v>시공측량사조수</v>
          </cell>
          <cell r="C62" t="str">
            <v>인</v>
          </cell>
          <cell r="D62">
            <v>33985</v>
          </cell>
          <cell r="E62">
            <v>32619</v>
          </cell>
          <cell r="F62">
            <v>38777</v>
          </cell>
        </row>
        <row r="63">
          <cell r="A63" t="str">
            <v>L059</v>
          </cell>
          <cell r="B63" t="str">
            <v>측    부</v>
          </cell>
          <cell r="C63" t="str">
            <v>인</v>
          </cell>
          <cell r="D63">
            <v>26699</v>
          </cell>
          <cell r="E63">
            <v>32690</v>
          </cell>
          <cell r="F63">
            <v>32725</v>
          </cell>
        </row>
        <row r="64">
          <cell r="A64" t="str">
            <v>L060</v>
          </cell>
          <cell r="B64" t="str">
            <v>검 조 부</v>
          </cell>
          <cell r="C64" t="str">
            <v>인</v>
          </cell>
          <cell r="D64">
            <v>33755</v>
          </cell>
          <cell r="E64">
            <v>34098</v>
          </cell>
          <cell r="F64">
            <v>32800</v>
          </cell>
        </row>
        <row r="65">
          <cell r="A65" t="str">
            <v>L061</v>
          </cell>
          <cell r="B65" t="str">
            <v>송전전공</v>
          </cell>
          <cell r="C65" t="str">
            <v>인</v>
          </cell>
          <cell r="D65">
            <v>197482</v>
          </cell>
          <cell r="E65">
            <v>188956</v>
          </cell>
          <cell r="F65">
            <v>234733</v>
          </cell>
        </row>
        <row r="66">
          <cell r="A66" t="str">
            <v>L062</v>
          </cell>
          <cell r="B66" t="str">
            <v>배전전공</v>
          </cell>
          <cell r="C66" t="str">
            <v>인</v>
          </cell>
          <cell r="D66">
            <v>176615</v>
          </cell>
          <cell r="E66">
            <v>164094</v>
          </cell>
          <cell r="F66">
            <v>192602</v>
          </cell>
        </row>
        <row r="67">
          <cell r="A67" t="str">
            <v>L063</v>
          </cell>
          <cell r="B67" t="str">
            <v>플랜트 전공</v>
          </cell>
          <cell r="C67" t="str">
            <v>인</v>
          </cell>
          <cell r="D67">
            <v>52369</v>
          </cell>
          <cell r="E67">
            <v>54503</v>
          </cell>
          <cell r="F67">
            <v>64285</v>
          </cell>
        </row>
        <row r="68">
          <cell r="A68" t="str">
            <v>L064</v>
          </cell>
          <cell r="B68" t="str">
            <v>내선전공</v>
          </cell>
          <cell r="C68" t="str">
            <v>인</v>
          </cell>
          <cell r="D68">
            <v>47911</v>
          </cell>
          <cell r="E68">
            <v>51021</v>
          </cell>
          <cell r="F68">
            <v>57286</v>
          </cell>
        </row>
        <row r="69">
          <cell r="A69" t="str">
            <v>L065</v>
          </cell>
          <cell r="B69" t="str">
            <v>특별고압케이블전공</v>
          </cell>
          <cell r="C69" t="str">
            <v>인</v>
          </cell>
          <cell r="D69">
            <v>97565</v>
          </cell>
          <cell r="E69">
            <v>102881</v>
          </cell>
          <cell r="F69">
            <v>98463</v>
          </cell>
        </row>
        <row r="70">
          <cell r="A70" t="str">
            <v>L066</v>
          </cell>
          <cell r="B70" t="str">
            <v>고압케이블전공</v>
          </cell>
          <cell r="C70" t="str">
            <v>인</v>
          </cell>
          <cell r="D70">
            <v>66547</v>
          </cell>
          <cell r="E70">
            <v>74151</v>
          </cell>
          <cell r="F70">
            <v>74584</v>
          </cell>
        </row>
        <row r="71">
          <cell r="A71" t="str">
            <v>L067</v>
          </cell>
          <cell r="B71" t="str">
            <v>저압케이블전공</v>
          </cell>
          <cell r="C71" t="str">
            <v>인</v>
          </cell>
          <cell r="D71">
            <v>59146</v>
          </cell>
          <cell r="E71">
            <v>55486</v>
          </cell>
          <cell r="F71">
            <v>61877</v>
          </cell>
        </row>
        <row r="72">
          <cell r="A72" t="str">
            <v>L068</v>
          </cell>
          <cell r="B72" t="str">
            <v>철도신호공</v>
          </cell>
          <cell r="C72" t="str">
            <v>인</v>
          </cell>
          <cell r="D72">
            <v>79766</v>
          </cell>
          <cell r="E72">
            <v>73483</v>
          </cell>
          <cell r="F72">
            <v>88167</v>
          </cell>
        </row>
        <row r="73">
          <cell r="A73" t="str">
            <v>L069</v>
          </cell>
          <cell r="B73" t="str">
            <v>계 장 공</v>
          </cell>
          <cell r="C73" t="str">
            <v>인</v>
          </cell>
          <cell r="D73">
            <v>50009</v>
          </cell>
          <cell r="E73">
            <v>57587</v>
          </cell>
          <cell r="F73">
            <v>60822</v>
          </cell>
        </row>
        <row r="74">
          <cell r="A74" t="str">
            <v>L070</v>
          </cell>
          <cell r="B74" t="str">
            <v>전기공사기사 1급</v>
          </cell>
          <cell r="C74" t="str">
            <v>인</v>
          </cell>
          <cell r="D74">
            <v>0</v>
          </cell>
          <cell r="E74">
            <v>0</v>
          </cell>
          <cell r="F74">
            <v>64241</v>
          </cell>
        </row>
        <row r="75">
          <cell r="A75" t="str">
            <v>L071</v>
          </cell>
          <cell r="B75" t="str">
            <v>전기공사기사 2급</v>
          </cell>
          <cell r="C75" t="str">
            <v>인</v>
          </cell>
          <cell r="D75">
            <v>0</v>
          </cell>
          <cell r="E75">
            <v>0</v>
          </cell>
          <cell r="F75">
            <v>55069</v>
          </cell>
        </row>
        <row r="76">
          <cell r="A76" t="str">
            <v>L072</v>
          </cell>
          <cell r="B76" t="str">
            <v>통신외선공</v>
          </cell>
          <cell r="C76" t="str">
            <v>인</v>
          </cell>
          <cell r="D76">
            <v>73980</v>
          </cell>
          <cell r="E76">
            <v>77946</v>
          </cell>
          <cell r="F76">
            <v>89013</v>
          </cell>
        </row>
        <row r="77">
          <cell r="A77" t="str">
            <v>L073</v>
          </cell>
          <cell r="B77" t="str">
            <v>통신설비공</v>
          </cell>
          <cell r="C77" t="str">
            <v>인</v>
          </cell>
          <cell r="D77">
            <v>64758</v>
          </cell>
          <cell r="E77">
            <v>66296</v>
          </cell>
          <cell r="F77">
            <v>76852</v>
          </cell>
        </row>
        <row r="78">
          <cell r="A78" t="str">
            <v>L074</v>
          </cell>
          <cell r="B78" t="str">
            <v>통신내선공</v>
          </cell>
          <cell r="C78" t="str">
            <v>인</v>
          </cell>
          <cell r="D78">
            <v>60168</v>
          </cell>
          <cell r="E78">
            <v>63738</v>
          </cell>
          <cell r="F78">
            <v>72591</v>
          </cell>
        </row>
        <row r="79">
          <cell r="A79" t="str">
            <v>L075</v>
          </cell>
          <cell r="B79" t="str">
            <v>통신케이블공</v>
          </cell>
          <cell r="C79" t="str">
            <v>인</v>
          </cell>
          <cell r="D79">
            <v>75788</v>
          </cell>
          <cell r="E79">
            <v>80042</v>
          </cell>
          <cell r="F79">
            <v>90455</v>
          </cell>
        </row>
        <row r="80">
          <cell r="A80" t="str">
            <v>L076</v>
          </cell>
          <cell r="B80" t="str">
            <v>무선안테나공</v>
          </cell>
          <cell r="C80" t="str">
            <v>인</v>
          </cell>
          <cell r="D80">
            <v>91475</v>
          </cell>
          <cell r="E80">
            <v>97216</v>
          </cell>
          <cell r="F80">
            <v>110956</v>
          </cell>
        </row>
        <row r="81">
          <cell r="A81" t="str">
            <v>L077</v>
          </cell>
          <cell r="B81" t="str">
            <v>통신기사 1급</v>
          </cell>
          <cell r="C81" t="str">
            <v>인</v>
          </cell>
          <cell r="D81">
            <v>84229</v>
          </cell>
          <cell r="E81">
            <v>87004</v>
          </cell>
          <cell r="F81">
            <v>92723</v>
          </cell>
        </row>
        <row r="82">
          <cell r="A82" t="str">
            <v>L078</v>
          </cell>
          <cell r="B82" t="str">
            <v>통신기사 2급</v>
          </cell>
          <cell r="C82" t="str">
            <v>인</v>
          </cell>
          <cell r="D82">
            <v>79642</v>
          </cell>
          <cell r="E82">
            <v>78519</v>
          </cell>
          <cell r="F82">
            <v>82395</v>
          </cell>
        </row>
        <row r="83">
          <cell r="A83" t="str">
            <v>L079</v>
          </cell>
          <cell r="B83" t="str">
            <v>통신기능사</v>
          </cell>
          <cell r="C83" t="str">
            <v>인</v>
          </cell>
          <cell r="D83">
            <v>67759</v>
          </cell>
          <cell r="E83">
            <v>68332</v>
          </cell>
          <cell r="F83">
            <v>72194</v>
          </cell>
        </row>
        <row r="84">
          <cell r="A84" t="str">
            <v>L080</v>
          </cell>
          <cell r="B84" t="str">
            <v>수작업반장</v>
          </cell>
          <cell r="C84" t="str">
            <v>인</v>
          </cell>
          <cell r="D84">
            <v>57364</v>
          </cell>
          <cell r="E84">
            <v>54191</v>
          </cell>
          <cell r="F84">
            <v>74369</v>
          </cell>
        </row>
        <row r="85">
          <cell r="A85" t="str">
            <v>L081</v>
          </cell>
          <cell r="B85" t="str">
            <v>작업반장</v>
          </cell>
          <cell r="C85" t="str">
            <v>인</v>
          </cell>
          <cell r="D85">
            <v>57364</v>
          </cell>
          <cell r="E85">
            <v>54191</v>
          </cell>
          <cell r="F85">
            <v>60326</v>
          </cell>
        </row>
        <row r="86">
          <cell r="A86" t="str">
            <v>L082</v>
          </cell>
          <cell r="B86" t="str">
            <v>목    도</v>
          </cell>
          <cell r="C86" t="str">
            <v>인</v>
          </cell>
          <cell r="D86">
            <v>64408</v>
          </cell>
          <cell r="E86">
            <v>63010</v>
          </cell>
          <cell r="F86">
            <v>64758</v>
          </cell>
        </row>
        <row r="87">
          <cell r="A87" t="str">
            <v>L083</v>
          </cell>
          <cell r="B87" t="str">
            <v>조 력 공</v>
          </cell>
          <cell r="C87" t="str">
            <v>인</v>
          </cell>
          <cell r="D87">
            <v>39371</v>
          </cell>
          <cell r="E87">
            <v>40427</v>
          </cell>
          <cell r="F87">
            <v>48912</v>
          </cell>
        </row>
        <row r="88">
          <cell r="A88" t="str">
            <v>L084</v>
          </cell>
          <cell r="B88" t="str">
            <v>특별인부</v>
          </cell>
          <cell r="C88" t="str">
            <v>인</v>
          </cell>
          <cell r="D88">
            <v>48674</v>
          </cell>
          <cell r="E88">
            <v>49659</v>
          </cell>
          <cell r="F88">
            <v>57379</v>
          </cell>
        </row>
        <row r="89">
          <cell r="A89" t="str">
            <v>L085</v>
          </cell>
          <cell r="B89" t="str">
            <v>보통인부</v>
          </cell>
          <cell r="C89" t="str">
            <v>인</v>
          </cell>
          <cell r="D89">
            <v>33755</v>
          </cell>
          <cell r="E89">
            <v>34098</v>
          </cell>
          <cell r="F89">
            <v>37736</v>
          </cell>
        </row>
        <row r="90">
          <cell r="A90" t="str">
            <v>L086</v>
          </cell>
          <cell r="B90" t="str">
            <v>중기운전기사</v>
          </cell>
          <cell r="C90" t="str">
            <v>인</v>
          </cell>
          <cell r="D90">
            <v>53715</v>
          </cell>
          <cell r="E90">
            <v>52855</v>
          </cell>
          <cell r="F90">
            <v>56951</v>
          </cell>
        </row>
        <row r="91">
          <cell r="A91" t="str">
            <v>L087</v>
          </cell>
          <cell r="B91" t="str">
            <v>운전사(운반차)</v>
          </cell>
          <cell r="C91" t="str">
            <v>인</v>
          </cell>
          <cell r="D91">
            <v>49633</v>
          </cell>
          <cell r="E91">
            <v>53159</v>
          </cell>
          <cell r="F91">
            <v>51077</v>
          </cell>
        </row>
        <row r="92">
          <cell r="A92" t="str">
            <v>L088</v>
          </cell>
          <cell r="B92" t="str">
            <v>운전사(기  계)</v>
          </cell>
          <cell r="C92" t="str">
            <v>인</v>
          </cell>
          <cell r="D92">
            <v>45575</v>
          </cell>
          <cell r="E92">
            <v>45276</v>
          </cell>
          <cell r="F92">
            <v>54325</v>
          </cell>
        </row>
        <row r="93">
          <cell r="A93" t="str">
            <v>L089</v>
          </cell>
          <cell r="B93" t="str">
            <v>중기운전조수</v>
          </cell>
          <cell r="C93" t="str">
            <v>인</v>
          </cell>
          <cell r="D93">
            <v>40706</v>
          </cell>
          <cell r="E93">
            <v>39194</v>
          </cell>
          <cell r="F93">
            <v>42762</v>
          </cell>
        </row>
        <row r="94">
          <cell r="A94" t="str">
            <v>L090</v>
          </cell>
          <cell r="B94" t="str">
            <v>고급선원</v>
          </cell>
          <cell r="C94" t="str">
            <v>인</v>
          </cell>
          <cell r="D94">
            <v>67380</v>
          </cell>
          <cell r="E94">
            <v>63746</v>
          </cell>
          <cell r="F94">
            <v>63950</v>
          </cell>
        </row>
        <row r="95">
          <cell r="A95" t="str">
            <v>L091</v>
          </cell>
          <cell r="B95" t="str">
            <v>보통선원</v>
          </cell>
          <cell r="C95" t="str">
            <v>인</v>
          </cell>
          <cell r="D95">
            <v>52274</v>
          </cell>
          <cell r="E95">
            <v>54986</v>
          </cell>
          <cell r="F95">
            <v>49346</v>
          </cell>
        </row>
        <row r="96">
          <cell r="A96" t="str">
            <v>L092</v>
          </cell>
          <cell r="B96" t="str">
            <v>선    부</v>
          </cell>
          <cell r="C96" t="str">
            <v>인</v>
          </cell>
          <cell r="D96">
            <v>41303</v>
          </cell>
          <cell r="E96">
            <v>45267</v>
          </cell>
          <cell r="F96">
            <v>40088</v>
          </cell>
        </row>
        <row r="97">
          <cell r="A97" t="str">
            <v>L093</v>
          </cell>
          <cell r="B97" t="str">
            <v>준설선선장</v>
          </cell>
          <cell r="C97" t="str">
            <v>인</v>
          </cell>
          <cell r="D97">
            <v>77084</v>
          </cell>
          <cell r="E97">
            <v>77929</v>
          </cell>
          <cell r="F97">
            <v>79532</v>
          </cell>
        </row>
        <row r="98">
          <cell r="A98" t="str">
            <v>L094</v>
          </cell>
          <cell r="B98" t="str">
            <v>준설선기관장</v>
          </cell>
          <cell r="C98" t="str">
            <v>인</v>
          </cell>
          <cell r="D98">
            <v>65732</v>
          </cell>
          <cell r="E98">
            <v>66667</v>
          </cell>
          <cell r="F98">
            <v>70637</v>
          </cell>
        </row>
        <row r="99">
          <cell r="A99" t="str">
            <v>L095</v>
          </cell>
          <cell r="B99" t="str">
            <v>준설선기관사</v>
          </cell>
          <cell r="C99" t="str">
            <v>인</v>
          </cell>
          <cell r="D99">
            <v>62000</v>
          </cell>
          <cell r="E99">
            <v>63333</v>
          </cell>
          <cell r="F99">
            <v>56955</v>
          </cell>
        </row>
        <row r="100">
          <cell r="A100" t="str">
            <v>L096</v>
          </cell>
          <cell r="B100" t="str">
            <v>준설선운전사</v>
          </cell>
          <cell r="C100" t="str">
            <v>인</v>
          </cell>
          <cell r="D100">
            <v>64200</v>
          </cell>
          <cell r="E100">
            <v>58033</v>
          </cell>
          <cell r="F100">
            <v>66688</v>
          </cell>
        </row>
        <row r="101">
          <cell r="A101" t="str">
            <v>L097</v>
          </cell>
          <cell r="B101" t="str">
            <v>준설선전기사</v>
          </cell>
          <cell r="C101" t="str">
            <v>인</v>
          </cell>
          <cell r="D101">
            <v>66400</v>
          </cell>
          <cell r="E101">
            <v>66000</v>
          </cell>
          <cell r="F101">
            <v>63631</v>
          </cell>
        </row>
        <row r="102">
          <cell r="A102" t="str">
            <v>L098</v>
          </cell>
          <cell r="B102" t="str">
            <v>기계설치공</v>
          </cell>
          <cell r="C102" t="str">
            <v>인</v>
          </cell>
          <cell r="D102">
            <v>56925</v>
          </cell>
          <cell r="E102">
            <v>51838</v>
          </cell>
          <cell r="F102">
            <v>67415</v>
          </cell>
        </row>
        <row r="103">
          <cell r="A103" t="str">
            <v>L099</v>
          </cell>
          <cell r="B103" t="str">
            <v>기 계 공</v>
          </cell>
          <cell r="C103" t="str">
            <v>인</v>
          </cell>
          <cell r="D103">
            <v>49611</v>
          </cell>
          <cell r="E103">
            <v>49600</v>
          </cell>
          <cell r="F103">
            <v>58906</v>
          </cell>
        </row>
        <row r="104">
          <cell r="A104" t="str">
            <v>L100</v>
          </cell>
          <cell r="B104" t="str">
            <v>선 반 공</v>
          </cell>
          <cell r="C104" t="str">
            <v>인</v>
          </cell>
          <cell r="D104">
            <v>0</v>
          </cell>
          <cell r="E104">
            <v>0</v>
          </cell>
          <cell r="F104">
            <v>78752</v>
          </cell>
        </row>
        <row r="105">
          <cell r="A105" t="str">
            <v>L101</v>
          </cell>
          <cell r="B105" t="str">
            <v>정 비 공</v>
          </cell>
          <cell r="C105" t="str">
            <v>인</v>
          </cell>
          <cell r="D105">
            <v>0</v>
          </cell>
          <cell r="E105">
            <v>0</v>
          </cell>
          <cell r="F105">
            <v>52502</v>
          </cell>
        </row>
        <row r="106">
          <cell r="A106" t="str">
            <v>L102</v>
          </cell>
          <cell r="B106" t="str">
            <v>벨트콘베어작업공</v>
          </cell>
          <cell r="C106" t="str">
            <v>인</v>
          </cell>
          <cell r="D106">
            <v>0</v>
          </cell>
          <cell r="E106">
            <v>0</v>
          </cell>
          <cell r="F106">
            <v>0</v>
          </cell>
        </row>
        <row r="107">
          <cell r="A107" t="str">
            <v>L103</v>
          </cell>
          <cell r="B107" t="str">
            <v>현 도 사</v>
          </cell>
          <cell r="C107" t="str">
            <v>인</v>
          </cell>
          <cell r="D107">
            <v>66579</v>
          </cell>
          <cell r="E107">
            <v>0</v>
          </cell>
          <cell r="F107">
            <v>0</v>
          </cell>
        </row>
        <row r="108">
          <cell r="A108" t="str">
            <v>L104</v>
          </cell>
          <cell r="B108" t="str">
            <v>제 도 사</v>
          </cell>
          <cell r="C108" t="str">
            <v>인</v>
          </cell>
          <cell r="D108">
            <v>42366</v>
          </cell>
          <cell r="E108">
            <v>52957</v>
          </cell>
          <cell r="F108">
            <v>46978</v>
          </cell>
        </row>
        <row r="109">
          <cell r="A109" t="str">
            <v>L105</v>
          </cell>
          <cell r="B109" t="str">
            <v>시험사 1급</v>
          </cell>
          <cell r="C109" t="str">
            <v>인</v>
          </cell>
          <cell r="D109">
            <v>48017</v>
          </cell>
          <cell r="E109">
            <v>51959</v>
          </cell>
          <cell r="F109">
            <v>47867</v>
          </cell>
        </row>
        <row r="110">
          <cell r="A110" t="str">
            <v>L106</v>
          </cell>
          <cell r="B110" t="str">
            <v>시험사 2급</v>
          </cell>
          <cell r="C110" t="str">
            <v>인</v>
          </cell>
          <cell r="D110">
            <v>36857</v>
          </cell>
          <cell r="E110">
            <v>39935</v>
          </cell>
          <cell r="F110">
            <v>42272</v>
          </cell>
        </row>
        <row r="111">
          <cell r="A111" t="str">
            <v>L107</v>
          </cell>
          <cell r="B111" t="str">
            <v>시험사 3급</v>
          </cell>
          <cell r="C111" t="str">
            <v>인</v>
          </cell>
          <cell r="D111">
            <v>0</v>
          </cell>
          <cell r="E111">
            <v>0</v>
          </cell>
          <cell r="F111">
            <v>36667</v>
          </cell>
        </row>
        <row r="112">
          <cell r="A112" t="str">
            <v>L108</v>
          </cell>
          <cell r="B112" t="str">
            <v>시험사 4급</v>
          </cell>
          <cell r="C112" t="str">
            <v>인</v>
          </cell>
          <cell r="D112">
            <v>0</v>
          </cell>
          <cell r="E112">
            <v>0</v>
          </cell>
          <cell r="F112">
            <v>30223</v>
          </cell>
        </row>
        <row r="113">
          <cell r="A113" t="str">
            <v>L109</v>
          </cell>
          <cell r="B113" t="str">
            <v>시험보조수</v>
          </cell>
          <cell r="C113" t="str">
            <v>인</v>
          </cell>
          <cell r="D113">
            <v>29231</v>
          </cell>
          <cell r="E113">
            <v>31260</v>
          </cell>
          <cell r="F113">
            <v>31003</v>
          </cell>
        </row>
        <row r="114">
          <cell r="A114" t="str">
            <v>L110</v>
          </cell>
          <cell r="B114" t="str">
            <v>안전관리기사 1급</v>
          </cell>
          <cell r="C114" t="str">
            <v>인</v>
          </cell>
          <cell r="D114">
            <v>0</v>
          </cell>
          <cell r="E114">
            <v>0</v>
          </cell>
          <cell r="F114">
            <v>43959</v>
          </cell>
        </row>
        <row r="115">
          <cell r="A115" t="str">
            <v>L111</v>
          </cell>
          <cell r="B115" t="str">
            <v>안전관리기사 2급</v>
          </cell>
          <cell r="C115" t="str">
            <v>인</v>
          </cell>
          <cell r="D115">
            <v>0</v>
          </cell>
          <cell r="E115">
            <v>0</v>
          </cell>
          <cell r="F115">
            <v>38509</v>
          </cell>
        </row>
        <row r="116">
          <cell r="A116" t="str">
            <v>L112</v>
          </cell>
          <cell r="B116" t="str">
            <v>유 리 공</v>
          </cell>
          <cell r="C116" t="str">
            <v>인</v>
          </cell>
          <cell r="D116">
            <v>57574</v>
          </cell>
          <cell r="E116">
            <v>61877</v>
          </cell>
          <cell r="F116">
            <v>63783</v>
          </cell>
        </row>
        <row r="117">
          <cell r="A117" t="str">
            <v>L113</v>
          </cell>
          <cell r="B117" t="str">
            <v>함 석 공</v>
          </cell>
          <cell r="C117" t="str">
            <v>인</v>
          </cell>
          <cell r="D117">
            <v>56248</v>
          </cell>
          <cell r="E117">
            <v>56465</v>
          </cell>
          <cell r="F117">
            <v>68943</v>
          </cell>
        </row>
        <row r="118">
          <cell r="A118" t="str">
            <v>L114</v>
          </cell>
          <cell r="B118" t="str">
            <v>용 접 공(일 반)</v>
          </cell>
          <cell r="C118" t="str">
            <v>인</v>
          </cell>
          <cell r="D118">
            <v>60784</v>
          </cell>
          <cell r="E118">
            <v>61021</v>
          </cell>
          <cell r="F118">
            <v>74016</v>
          </cell>
        </row>
        <row r="119">
          <cell r="A119" t="str">
            <v>L115</v>
          </cell>
          <cell r="B119" t="str">
            <v>리 벳 공</v>
          </cell>
          <cell r="C119" t="str">
            <v>인</v>
          </cell>
          <cell r="D119">
            <v>60500</v>
          </cell>
          <cell r="E119">
            <v>64796</v>
          </cell>
          <cell r="F119">
            <v>71579</v>
          </cell>
        </row>
        <row r="120">
          <cell r="A120" t="str">
            <v>L116</v>
          </cell>
          <cell r="B120" t="str">
            <v>루 핑 공</v>
          </cell>
          <cell r="C120" t="str">
            <v>인</v>
          </cell>
          <cell r="D120">
            <v>50866</v>
          </cell>
          <cell r="E120">
            <v>51640</v>
          </cell>
          <cell r="F120">
            <v>57701</v>
          </cell>
        </row>
        <row r="121">
          <cell r="A121" t="str">
            <v>L117</v>
          </cell>
          <cell r="B121" t="str">
            <v>닥 트 공</v>
          </cell>
          <cell r="C121" t="str">
            <v>인</v>
          </cell>
          <cell r="D121">
            <v>48478</v>
          </cell>
          <cell r="E121">
            <v>52215</v>
          </cell>
          <cell r="F121">
            <v>58041</v>
          </cell>
        </row>
        <row r="122">
          <cell r="A122" t="str">
            <v>L118</v>
          </cell>
          <cell r="B122" t="str">
            <v>대 장 공</v>
          </cell>
          <cell r="C122" t="str">
            <v>인</v>
          </cell>
          <cell r="D122">
            <v>0</v>
          </cell>
          <cell r="E122">
            <v>0</v>
          </cell>
          <cell r="F122">
            <v>0</v>
          </cell>
        </row>
        <row r="123">
          <cell r="A123" t="str">
            <v>L119</v>
          </cell>
          <cell r="B123" t="str">
            <v>할 석 공</v>
          </cell>
          <cell r="C123" t="str">
            <v>인</v>
          </cell>
          <cell r="D123">
            <v>63951</v>
          </cell>
          <cell r="E123">
            <v>63908</v>
          </cell>
          <cell r="F123">
            <v>77728</v>
          </cell>
        </row>
        <row r="124">
          <cell r="A124" t="str">
            <v>L120</v>
          </cell>
          <cell r="B124" t="str">
            <v>제철축로공</v>
          </cell>
          <cell r="C124" t="str">
            <v>인</v>
          </cell>
          <cell r="D124">
            <v>92419</v>
          </cell>
          <cell r="E124">
            <v>93072</v>
          </cell>
          <cell r="F124">
            <v>93345</v>
          </cell>
        </row>
        <row r="125">
          <cell r="A125" t="str">
            <v>L121</v>
          </cell>
          <cell r="B125" t="str">
            <v>양 생 공</v>
          </cell>
          <cell r="C125" t="str">
            <v>인</v>
          </cell>
          <cell r="D125">
            <v>33755</v>
          </cell>
          <cell r="E125">
            <v>34098</v>
          </cell>
          <cell r="F125">
            <v>42244</v>
          </cell>
        </row>
        <row r="126">
          <cell r="A126" t="str">
            <v>L122</v>
          </cell>
          <cell r="B126" t="str">
            <v>계 령 공</v>
          </cell>
          <cell r="C126" t="str">
            <v>인</v>
          </cell>
          <cell r="D126">
            <v>52915</v>
          </cell>
          <cell r="E126">
            <v>55640</v>
          </cell>
          <cell r="F126">
            <v>0</v>
          </cell>
        </row>
        <row r="127">
          <cell r="A127" t="str">
            <v>L123</v>
          </cell>
          <cell r="B127" t="str">
            <v>사 공(배포함)</v>
          </cell>
          <cell r="C127" t="str">
            <v>인</v>
          </cell>
          <cell r="D127">
            <v>0</v>
          </cell>
          <cell r="E127">
            <v>0</v>
          </cell>
          <cell r="F127">
            <v>0</v>
          </cell>
        </row>
        <row r="128">
          <cell r="A128" t="str">
            <v>L124</v>
          </cell>
          <cell r="B128" t="str">
            <v>마 부(우마차포함)</v>
          </cell>
          <cell r="C128" t="str">
            <v>인</v>
          </cell>
          <cell r="D128">
            <v>0</v>
          </cell>
          <cell r="E128">
            <v>0</v>
          </cell>
          <cell r="F128">
            <v>0</v>
          </cell>
        </row>
        <row r="129">
          <cell r="A129" t="str">
            <v>L125</v>
          </cell>
          <cell r="B129" t="str">
            <v>제 재 공</v>
          </cell>
          <cell r="C129" t="str">
            <v>인</v>
          </cell>
          <cell r="D129">
            <v>0</v>
          </cell>
          <cell r="E129">
            <v>0</v>
          </cell>
          <cell r="F129">
            <v>0</v>
          </cell>
        </row>
        <row r="130">
          <cell r="A130" t="str">
            <v>L126</v>
          </cell>
          <cell r="B130" t="str">
            <v>철도궤도공</v>
          </cell>
          <cell r="C130" t="str">
            <v>인</v>
          </cell>
          <cell r="D130">
            <v>53629</v>
          </cell>
          <cell r="E130">
            <v>62818</v>
          </cell>
          <cell r="F130">
            <v>65636</v>
          </cell>
        </row>
        <row r="131">
          <cell r="A131" t="str">
            <v>L127</v>
          </cell>
          <cell r="B131" t="str">
            <v>지적기사 1급</v>
          </cell>
          <cell r="C131" t="str">
            <v>인</v>
          </cell>
          <cell r="D131">
            <v>91687</v>
          </cell>
          <cell r="E131">
            <v>93295</v>
          </cell>
          <cell r="F131">
            <v>93540</v>
          </cell>
        </row>
        <row r="132">
          <cell r="A132" t="str">
            <v>L128</v>
          </cell>
          <cell r="B132" t="str">
            <v>지적기사 2급</v>
          </cell>
          <cell r="C132" t="str">
            <v>인</v>
          </cell>
          <cell r="D132">
            <v>69173</v>
          </cell>
          <cell r="E132">
            <v>72840</v>
          </cell>
          <cell r="F132">
            <v>72183</v>
          </cell>
        </row>
        <row r="133">
          <cell r="A133" t="str">
            <v>L129</v>
          </cell>
          <cell r="B133" t="str">
            <v>지적기능사 1급</v>
          </cell>
          <cell r="C133" t="str">
            <v>인</v>
          </cell>
          <cell r="D133">
            <v>48878</v>
          </cell>
          <cell r="E133">
            <v>50316</v>
          </cell>
          <cell r="F133">
            <v>53062</v>
          </cell>
        </row>
        <row r="134">
          <cell r="A134" t="str">
            <v>L130</v>
          </cell>
          <cell r="B134" t="str">
            <v>지적기능사 2급</v>
          </cell>
          <cell r="C134" t="str">
            <v>인</v>
          </cell>
          <cell r="D134">
            <v>35131</v>
          </cell>
          <cell r="E134">
            <v>34731</v>
          </cell>
          <cell r="F134">
            <v>32715</v>
          </cell>
        </row>
        <row r="135">
          <cell r="A135" t="str">
            <v>L131</v>
          </cell>
          <cell r="B135" t="str">
            <v>치장벽돌공</v>
          </cell>
          <cell r="C135" t="str">
            <v>인</v>
          </cell>
          <cell r="D135">
            <v>61897</v>
          </cell>
          <cell r="E135">
            <v>64317</v>
          </cell>
          <cell r="F135">
            <v>73288</v>
          </cell>
        </row>
        <row r="136">
          <cell r="A136" t="str">
            <v>L132</v>
          </cell>
          <cell r="B136" t="str">
            <v>송전활선전공</v>
          </cell>
          <cell r="C136" t="str">
            <v>인</v>
          </cell>
          <cell r="D136">
            <v>235109</v>
          </cell>
          <cell r="E136">
            <v>250000</v>
          </cell>
          <cell r="F136">
            <v>0</v>
          </cell>
        </row>
        <row r="137">
          <cell r="A137" t="str">
            <v>L133</v>
          </cell>
          <cell r="B137" t="str">
            <v>배전활선전공</v>
          </cell>
          <cell r="C137" t="str">
            <v>인</v>
          </cell>
          <cell r="D137">
            <v>182772</v>
          </cell>
          <cell r="E137">
            <v>188915</v>
          </cell>
          <cell r="F137">
            <v>215055</v>
          </cell>
        </row>
        <row r="138">
          <cell r="A138" t="str">
            <v>L134</v>
          </cell>
          <cell r="B138" t="str">
            <v>중기조장</v>
          </cell>
          <cell r="C138" t="str">
            <v>인</v>
          </cell>
          <cell r="D138">
            <v>64260</v>
          </cell>
          <cell r="E138">
            <v>56042</v>
          </cell>
          <cell r="F138">
            <v>55484</v>
          </cell>
        </row>
        <row r="139">
          <cell r="A139" t="str">
            <v>L135</v>
          </cell>
          <cell r="B139" t="str">
            <v>모래분사공</v>
          </cell>
          <cell r="C139" t="str">
            <v>인</v>
          </cell>
          <cell r="D139">
            <v>52915</v>
          </cell>
          <cell r="E139">
            <v>55640</v>
          </cell>
          <cell r="F139">
            <v>49962</v>
          </cell>
        </row>
        <row r="140">
          <cell r="A140" t="str">
            <v>L137</v>
          </cell>
          <cell r="B140" t="str">
            <v>플랜트 특수용접공</v>
          </cell>
          <cell r="C140" t="str">
            <v>인</v>
          </cell>
          <cell r="D140">
            <v>100475</v>
          </cell>
          <cell r="E140">
            <v>93828</v>
          </cell>
          <cell r="F140">
            <v>141421</v>
          </cell>
        </row>
        <row r="141">
          <cell r="A141" t="str">
            <v>L200</v>
          </cell>
          <cell r="B141" t="str">
            <v>여자인부</v>
          </cell>
          <cell r="C141" t="str">
            <v>인</v>
          </cell>
          <cell r="D141">
            <v>0</v>
          </cell>
          <cell r="E141">
            <v>0</v>
          </cell>
          <cell r="F141">
            <v>0</v>
          </cell>
        </row>
        <row r="142">
          <cell r="A142" t="str">
            <v>L201</v>
          </cell>
          <cell r="B142" t="str">
            <v>조    공</v>
          </cell>
          <cell r="C142" t="str">
            <v>인</v>
          </cell>
          <cell r="D142">
            <v>0</v>
          </cell>
          <cell r="E142">
            <v>0</v>
          </cell>
          <cell r="F142">
            <v>0</v>
          </cell>
        </row>
        <row r="143">
          <cell r="A143" t="str">
            <v>L202</v>
          </cell>
          <cell r="B143" t="str">
            <v>포장특공</v>
          </cell>
          <cell r="C143" t="str">
            <v>인</v>
          </cell>
          <cell r="D143">
            <v>0</v>
          </cell>
          <cell r="E143">
            <v>0</v>
          </cell>
          <cell r="F143">
            <v>0</v>
          </cell>
        </row>
        <row r="144">
          <cell r="A144" t="str">
            <v>L203</v>
          </cell>
          <cell r="B144" t="str">
            <v>항 타 공</v>
          </cell>
          <cell r="C144" t="str">
            <v>인</v>
          </cell>
          <cell r="D144">
            <v>0</v>
          </cell>
          <cell r="E144">
            <v>0</v>
          </cell>
          <cell r="F144">
            <v>0</v>
          </cell>
        </row>
        <row r="145">
          <cell r="A145" t="str">
            <v>L204</v>
          </cell>
          <cell r="B145" t="str">
            <v>드 릴 공</v>
          </cell>
          <cell r="C145" t="str">
            <v>인</v>
          </cell>
          <cell r="D145">
            <v>0</v>
          </cell>
          <cell r="E145">
            <v>0</v>
          </cell>
          <cell r="F145">
            <v>0</v>
          </cell>
        </row>
        <row r="146">
          <cell r="A146" t="str">
            <v>L205</v>
          </cell>
          <cell r="B146" t="str">
            <v>WIRE MESH 설치공</v>
          </cell>
          <cell r="C146" t="str">
            <v>인</v>
          </cell>
          <cell r="D146">
            <v>0</v>
          </cell>
          <cell r="E146">
            <v>0</v>
          </cell>
          <cell r="F146">
            <v>0</v>
          </cell>
        </row>
        <row r="147">
          <cell r="A147" t="str">
            <v>L701</v>
          </cell>
          <cell r="B147" t="str">
            <v>특급기술자</v>
          </cell>
          <cell r="C147" t="str">
            <v>인</v>
          </cell>
          <cell r="D147">
            <v>132166</v>
          </cell>
          <cell r="E147">
            <v>142203</v>
          </cell>
          <cell r="F147">
            <v>142203</v>
          </cell>
        </row>
        <row r="148">
          <cell r="A148" t="str">
            <v>L702</v>
          </cell>
          <cell r="B148" t="str">
            <v>고급기술자</v>
          </cell>
          <cell r="C148" t="str">
            <v>인</v>
          </cell>
          <cell r="D148">
            <v>109695</v>
          </cell>
          <cell r="E148">
            <v>117410</v>
          </cell>
          <cell r="F148">
            <v>117410</v>
          </cell>
        </row>
        <row r="149">
          <cell r="A149" t="str">
            <v>L703</v>
          </cell>
          <cell r="B149" t="str">
            <v>중급기술자</v>
          </cell>
          <cell r="C149" t="str">
            <v>인</v>
          </cell>
          <cell r="D149">
            <v>91968</v>
          </cell>
          <cell r="E149">
            <v>97488</v>
          </cell>
          <cell r="F149">
            <v>97488</v>
          </cell>
        </row>
        <row r="150">
          <cell r="A150" t="str">
            <v>L704</v>
          </cell>
          <cell r="B150" t="str">
            <v>초급기술자</v>
          </cell>
          <cell r="C150" t="str">
            <v>인</v>
          </cell>
          <cell r="D150">
            <v>65947</v>
          </cell>
          <cell r="E150">
            <v>69405</v>
          </cell>
          <cell r="F150">
            <v>69405</v>
          </cell>
        </row>
        <row r="151">
          <cell r="A151" t="str">
            <v>L705</v>
          </cell>
          <cell r="B151" t="str">
            <v>고급기능사</v>
          </cell>
          <cell r="C151" t="str">
            <v>인</v>
          </cell>
          <cell r="D151">
            <v>67006</v>
          </cell>
          <cell r="E151">
            <v>68094</v>
          </cell>
          <cell r="F151">
            <v>68094</v>
          </cell>
        </row>
        <row r="152">
          <cell r="A152" t="str">
            <v>L706</v>
          </cell>
          <cell r="B152" t="str">
            <v>중급기능사</v>
          </cell>
          <cell r="C152" t="str">
            <v>인</v>
          </cell>
          <cell r="D152">
            <v>55830</v>
          </cell>
          <cell r="E152">
            <v>60249</v>
          </cell>
          <cell r="F152">
            <v>60249</v>
          </cell>
        </row>
        <row r="153">
          <cell r="A153" t="str">
            <v>L707</v>
          </cell>
          <cell r="B153" t="str">
            <v>초급기능사</v>
          </cell>
          <cell r="C153" t="str">
            <v>인</v>
          </cell>
          <cell r="D153">
            <v>46933</v>
          </cell>
          <cell r="E153">
            <v>48652</v>
          </cell>
          <cell r="F153">
            <v>48652</v>
          </cell>
        </row>
        <row r="154">
          <cell r="A154" t="str">
            <v>L301</v>
          </cell>
          <cell r="B154" t="str">
            <v>H/W설치기사</v>
          </cell>
          <cell r="C154" t="str">
            <v>인</v>
          </cell>
          <cell r="D154">
            <v>83297</v>
          </cell>
          <cell r="E154">
            <v>82162</v>
          </cell>
          <cell r="F154">
            <v>82913</v>
          </cell>
        </row>
        <row r="155">
          <cell r="A155" t="str">
            <v>L302</v>
          </cell>
          <cell r="B155" t="str">
            <v>H/W시험기사</v>
          </cell>
          <cell r="C155" t="str">
            <v>인</v>
          </cell>
          <cell r="D155">
            <v>85165</v>
          </cell>
          <cell r="E155">
            <v>82402</v>
          </cell>
          <cell r="F155">
            <v>84088</v>
          </cell>
        </row>
        <row r="156">
          <cell r="A156" t="str">
            <v>L303</v>
          </cell>
          <cell r="B156" t="str">
            <v>S/W시험기사</v>
          </cell>
          <cell r="C156" t="str">
            <v>인</v>
          </cell>
          <cell r="D156">
            <v>86583</v>
          </cell>
          <cell r="E156">
            <v>84693</v>
          </cell>
          <cell r="F156">
            <v>85238</v>
          </cell>
        </row>
        <row r="157">
          <cell r="A157" t="str">
            <v>L304</v>
          </cell>
          <cell r="B157" t="str">
            <v>CPU시험기사</v>
          </cell>
          <cell r="C157" t="str">
            <v>인</v>
          </cell>
          <cell r="D157">
            <v>81182</v>
          </cell>
          <cell r="E157">
            <v>79138</v>
          </cell>
          <cell r="F157">
            <v>80163</v>
          </cell>
        </row>
        <row r="158">
          <cell r="A158" t="str">
            <v>L305</v>
          </cell>
          <cell r="B158" t="str">
            <v>광통신기사</v>
          </cell>
          <cell r="C158" t="str">
            <v>인</v>
          </cell>
          <cell r="D158">
            <v>108175</v>
          </cell>
          <cell r="E158">
            <v>132875</v>
          </cell>
          <cell r="F158">
            <v>149857</v>
          </cell>
        </row>
        <row r="159">
          <cell r="A159" t="str">
            <v>L306</v>
          </cell>
          <cell r="B159" t="str">
            <v>광케이블기사</v>
          </cell>
          <cell r="C159" t="str">
            <v>인</v>
          </cell>
          <cell r="D159">
            <v>90147</v>
          </cell>
          <cell r="E159">
            <v>110336</v>
          </cell>
          <cell r="F159">
            <v>120493</v>
          </cell>
        </row>
        <row r="160">
          <cell r="A160" t="str">
            <v>L401</v>
          </cell>
          <cell r="B160" t="str">
            <v>도편수</v>
          </cell>
          <cell r="C160" t="str">
            <v>인</v>
          </cell>
          <cell r="D160">
            <v>120804</v>
          </cell>
          <cell r="E160">
            <v>131984</v>
          </cell>
          <cell r="F160">
            <v>132909</v>
          </cell>
        </row>
        <row r="161">
          <cell r="A161" t="str">
            <v>L402</v>
          </cell>
          <cell r="B161" t="str">
            <v>목조각공</v>
          </cell>
          <cell r="C161" t="str">
            <v>인</v>
          </cell>
          <cell r="D161">
            <v>109226</v>
          </cell>
          <cell r="E161">
            <v>96291</v>
          </cell>
          <cell r="F161">
            <v>95674</v>
          </cell>
        </row>
        <row r="162">
          <cell r="A162" t="str">
            <v>L403</v>
          </cell>
          <cell r="B162" t="str">
            <v>한식목공</v>
          </cell>
          <cell r="C162" t="str">
            <v>인</v>
          </cell>
          <cell r="D162">
            <v>89987</v>
          </cell>
          <cell r="E162">
            <v>87000</v>
          </cell>
          <cell r="F162">
            <v>86465</v>
          </cell>
        </row>
        <row r="163">
          <cell r="A163" t="str">
            <v>L404</v>
          </cell>
          <cell r="B163" t="str">
            <v>한식목공조공</v>
          </cell>
          <cell r="C163" t="str">
            <v>인</v>
          </cell>
          <cell r="D163">
            <v>73861</v>
          </cell>
          <cell r="E163">
            <v>69203</v>
          </cell>
          <cell r="F163">
            <v>62022</v>
          </cell>
        </row>
        <row r="164">
          <cell r="A164" t="str">
            <v>L405</v>
          </cell>
          <cell r="B164" t="str">
            <v>드잡이공</v>
          </cell>
          <cell r="C164" t="str">
            <v>인</v>
          </cell>
          <cell r="D164">
            <v>98743</v>
          </cell>
          <cell r="E164">
            <v>106667</v>
          </cell>
          <cell r="F164">
            <v>98108</v>
          </cell>
        </row>
        <row r="165">
          <cell r="A165" t="str">
            <v>L406</v>
          </cell>
          <cell r="B165" t="str">
            <v>한식와공</v>
          </cell>
          <cell r="C165" t="str">
            <v>인</v>
          </cell>
          <cell r="D165">
            <v>144566</v>
          </cell>
          <cell r="E165">
            <v>153013</v>
          </cell>
          <cell r="F165">
            <v>126465</v>
          </cell>
        </row>
        <row r="166">
          <cell r="A166" t="str">
            <v>L407</v>
          </cell>
          <cell r="B166" t="str">
            <v>한식와공조공</v>
          </cell>
          <cell r="C166" t="str">
            <v>인</v>
          </cell>
          <cell r="D166">
            <v>98830</v>
          </cell>
          <cell r="E166">
            <v>80622</v>
          </cell>
          <cell r="F166">
            <v>91058</v>
          </cell>
        </row>
        <row r="167">
          <cell r="A167" t="str">
            <v>L408</v>
          </cell>
          <cell r="B167" t="str">
            <v>석조각공</v>
          </cell>
          <cell r="C167" t="str">
            <v>인</v>
          </cell>
          <cell r="D167">
            <v>97323</v>
          </cell>
          <cell r="E167">
            <v>112022</v>
          </cell>
          <cell r="F167">
            <v>108908</v>
          </cell>
        </row>
        <row r="168">
          <cell r="A168" t="str">
            <v>L409</v>
          </cell>
          <cell r="B168" t="str">
            <v>특수화공</v>
          </cell>
          <cell r="C168" t="str">
            <v>인</v>
          </cell>
          <cell r="D168">
            <v>130909</v>
          </cell>
          <cell r="E168">
            <v>106000</v>
          </cell>
          <cell r="F168">
            <v>121264</v>
          </cell>
        </row>
        <row r="169">
          <cell r="A169" t="str">
            <v>L410</v>
          </cell>
          <cell r="B169" t="str">
            <v>화공</v>
          </cell>
          <cell r="C169" t="str">
            <v>인</v>
          </cell>
          <cell r="D169">
            <v>98506</v>
          </cell>
          <cell r="E169">
            <v>92685</v>
          </cell>
          <cell r="F169">
            <v>86801</v>
          </cell>
        </row>
        <row r="170">
          <cell r="A170" t="str">
            <v>L411</v>
          </cell>
          <cell r="B170" t="str">
            <v>한식미장공</v>
          </cell>
          <cell r="C170" t="str">
            <v>인</v>
          </cell>
          <cell r="D170">
            <v>83400</v>
          </cell>
          <cell r="E170">
            <v>78989</v>
          </cell>
          <cell r="F170">
            <v>79972</v>
          </cell>
        </row>
        <row r="171">
          <cell r="A171" t="str">
            <v>L501</v>
          </cell>
          <cell r="B171" t="str">
            <v>원자력배관공</v>
          </cell>
          <cell r="C171" t="str">
            <v>인</v>
          </cell>
          <cell r="D171">
            <v>85504</v>
          </cell>
          <cell r="E171">
            <v>84091</v>
          </cell>
          <cell r="F171">
            <v>85331</v>
          </cell>
        </row>
        <row r="172">
          <cell r="A172" t="str">
            <v>L502</v>
          </cell>
          <cell r="B172" t="str">
            <v>원자력용접공</v>
          </cell>
          <cell r="C172" t="str">
            <v>인</v>
          </cell>
          <cell r="D172">
            <v>91598</v>
          </cell>
          <cell r="E172">
            <v>97054</v>
          </cell>
          <cell r="F172">
            <v>98842</v>
          </cell>
        </row>
        <row r="173">
          <cell r="A173" t="str">
            <v>L503</v>
          </cell>
          <cell r="B173" t="str">
            <v>원자력기계설치공</v>
          </cell>
          <cell r="C173" t="str">
            <v>인</v>
          </cell>
          <cell r="D173">
            <v>95966</v>
          </cell>
          <cell r="E173">
            <v>97451</v>
          </cell>
          <cell r="F173">
            <v>98364</v>
          </cell>
        </row>
        <row r="174">
          <cell r="A174" t="str">
            <v>L504</v>
          </cell>
          <cell r="B174" t="str">
            <v>원자력덕트공</v>
          </cell>
          <cell r="C174" t="str">
            <v>인</v>
          </cell>
          <cell r="D174">
            <v>88404</v>
          </cell>
          <cell r="E174">
            <v>84386</v>
          </cell>
          <cell r="F174">
            <v>104350</v>
          </cell>
        </row>
        <row r="175">
          <cell r="A175" t="str">
            <v>L505</v>
          </cell>
          <cell r="B175" t="str">
            <v>원자력제관공</v>
          </cell>
          <cell r="C175" t="str">
            <v>인</v>
          </cell>
          <cell r="D175">
            <v>76226</v>
          </cell>
          <cell r="E175">
            <v>79640</v>
          </cell>
          <cell r="F175">
            <v>76379</v>
          </cell>
        </row>
        <row r="176">
          <cell r="A176" t="str">
            <v>L506</v>
          </cell>
          <cell r="B176" t="str">
            <v>원자력케이블공</v>
          </cell>
          <cell r="C176" t="str">
            <v>인</v>
          </cell>
          <cell r="D176">
            <v>61338</v>
          </cell>
          <cell r="E176">
            <v>66411</v>
          </cell>
          <cell r="F176">
            <v>85474</v>
          </cell>
        </row>
        <row r="177">
          <cell r="A177" t="str">
            <v>L507</v>
          </cell>
          <cell r="B177" t="str">
            <v>원자력계장공</v>
          </cell>
          <cell r="C177" t="str">
            <v>인</v>
          </cell>
          <cell r="D177">
            <v>58478</v>
          </cell>
          <cell r="E177">
            <v>48839</v>
          </cell>
          <cell r="F177">
            <v>0</v>
          </cell>
        </row>
        <row r="178">
          <cell r="A178" t="str">
            <v>L508</v>
          </cell>
          <cell r="B178" t="str">
            <v>고급원자력비파괴시험공</v>
          </cell>
          <cell r="C178" t="str">
            <v>인</v>
          </cell>
          <cell r="D178">
            <v>89172</v>
          </cell>
          <cell r="E178">
            <v>91089</v>
          </cell>
          <cell r="F178">
            <v>92315</v>
          </cell>
        </row>
        <row r="179">
          <cell r="A179" t="str">
            <v>L509</v>
          </cell>
          <cell r="B179" t="str">
            <v>특급원자력비파괴시험공</v>
          </cell>
          <cell r="C179" t="str">
            <v>인</v>
          </cell>
          <cell r="D179">
            <v>94950</v>
          </cell>
          <cell r="E179">
            <v>99701</v>
          </cell>
          <cell r="F179">
            <v>100409</v>
          </cell>
        </row>
        <row r="180">
          <cell r="A180" t="str">
            <v>L510</v>
          </cell>
          <cell r="B180" t="str">
            <v>원자력기술자</v>
          </cell>
          <cell r="C180" t="str">
            <v>인</v>
          </cell>
          <cell r="D180">
            <v>71548</v>
          </cell>
          <cell r="E180">
            <v>67556</v>
          </cell>
          <cell r="F180">
            <v>66616</v>
          </cell>
        </row>
        <row r="181">
          <cell r="A181" t="str">
            <v>L511</v>
          </cell>
          <cell r="B181" t="str">
            <v>중급원자력기술자</v>
          </cell>
          <cell r="C181" t="str">
            <v>인</v>
          </cell>
          <cell r="D181">
            <v>85398</v>
          </cell>
          <cell r="E181">
            <v>78598</v>
          </cell>
          <cell r="F181">
            <v>77992</v>
          </cell>
        </row>
        <row r="182">
          <cell r="A182" t="str">
            <v>L048</v>
          </cell>
          <cell r="B182" t="str">
            <v>우 물 공</v>
          </cell>
          <cell r="C182" t="str">
            <v>인</v>
          </cell>
          <cell r="D182">
            <v>50288</v>
          </cell>
          <cell r="E182">
            <v>53721</v>
          </cell>
          <cell r="F182">
            <v>50558</v>
          </cell>
        </row>
        <row r="183">
          <cell r="A183" t="str">
            <v>L601</v>
          </cell>
          <cell r="B183" t="str">
            <v>책임측량사</v>
          </cell>
          <cell r="C183" t="str">
            <v>인</v>
          </cell>
          <cell r="D183">
            <v>0</v>
          </cell>
          <cell r="E183">
            <v>0</v>
          </cell>
          <cell r="F183">
            <v>0</v>
          </cell>
        </row>
        <row r="184">
          <cell r="A184" t="str">
            <v>L602</v>
          </cell>
          <cell r="B184" t="str">
            <v>측지기사 1급</v>
          </cell>
          <cell r="C184" t="str">
            <v>인</v>
          </cell>
          <cell r="D184">
            <v>0</v>
          </cell>
          <cell r="E184">
            <v>0</v>
          </cell>
          <cell r="F184">
            <v>0</v>
          </cell>
        </row>
        <row r="185">
          <cell r="A185" t="str">
            <v>L603</v>
          </cell>
          <cell r="B185" t="str">
            <v>측지기사 2급</v>
          </cell>
          <cell r="C185" t="str">
            <v>인</v>
          </cell>
          <cell r="D185">
            <v>0</v>
          </cell>
          <cell r="E185">
            <v>0</v>
          </cell>
          <cell r="F185">
            <v>0</v>
          </cell>
        </row>
        <row r="186">
          <cell r="A186" t="str">
            <v>L604</v>
          </cell>
          <cell r="B186" t="str">
            <v>측량기능사 1급</v>
          </cell>
          <cell r="C186" t="str">
            <v>인</v>
          </cell>
          <cell r="D186">
            <v>0</v>
          </cell>
          <cell r="E186">
            <v>0</v>
          </cell>
          <cell r="F186">
            <v>0</v>
          </cell>
        </row>
        <row r="187">
          <cell r="A187" t="str">
            <v>L605</v>
          </cell>
          <cell r="B187" t="str">
            <v>측량기능사 또는 측량기능사 2급</v>
          </cell>
          <cell r="C187" t="str">
            <v>인</v>
          </cell>
          <cell r="D187">
            <v>0</v>
          </cell>
          <cell r="E187">
            <v>0</v>
          </cell>
          <cell r="F187">
            <v>0</v>
          </cell>
        </row>
        <row r="188">
          <cell r="A188" t="str">
            <v>L606</v>
          </cell>
          <cell r="B188" t="str">
            <v>항공사진기능사 1급(1급/2급통합)</v>
          </cell>
          <cell r="C188" t="str">
            <v>인</v>
          </cell>
          <cell r="D188">
            <v>0</v>
          </cell>
          <cell r="E188">
            <v>0</v>
          </cell>
          <cell r="F188">
            <v>0</v>
          </cell>
        </row>
        <row r="189">
          <cell r="A189" t="str">
            <v>L609</v>
          </cell>
          <cell r="B189" t="str">
            <v>도화기능사 또는 도화기능사 2급</v>
          </cell>
          <cell r="C189" t="str">
            <v>인</v>
          </cell>
          <cell r="D189">
            <v>0</v>
          </cell>
          <cell r="E189">
            <v>0</v>
          </cell>
          <cell r="F189">
            <v>0</v>
          </cell>
        </row>
        <row r="190">
          <cell r="A190" t="str">
            <v>L607</v>
          </cell>
          <cell r="B190" t="str">
            <v>항공사진기능사 또는 항공사진기능사 2급</v>
          </cell>
          <cell r="C190" t="str">
            <v>인</v>
          </cell>
          <cell r="D190">
            <v>0</v>
          </cell>
          <cell r="E190">
            <v>0</v>
          </cell>
          <cell r="F190">
            <v>0</v>
          </cell>
        </row>
        <row r="191">
          <cell r="A191" t="str">
            <v>L608</v>
          </cell>
          <cell r="B191" t="str">
            <v>도화기능사 1급(1급/2급통합)</v>
          </cell>
          <cell r="C191" t="str">
            <v>인</v>
          </cell>
          <cell r="D191">
            <v>0</v>
          </cell>
          <cell r="E191">
            <v>0</v>
          </cell>
          <cell r="F191">
            <v>0</v>
          </cell>
        </row>
        <row r="192">
          <cell r="A192" t="str">
            <v>L610</v>
          </cell>
          <cell r="B192" t="str">
            <v>지도제작기능사 1급(1급/2급통합)</v>
          </cell>
          <cell r="C192" t="str">
            <v>인</v>
          </cell>
          <cell r="D192">
            <v>0</v>
          </cell>
          <cell r="E192">
            <v>0</v>
          </cell>
          <cell r="F192">
            <v>0</v>
          </cell>
        </row>
        <row r="193">
          <cell r="A193" t="str">
            <v>L611</v>
          </cell>
          <cell r="B193" t="str">
            <v>지도제작기능사 또는 지도제작기능사 2급</v>
          </cell>
          <cell r="C193" t="str">
            <v>인</v>
          </cell>
          <cell r="D193">
            <v>0</v>
          </cell>
          <cell r="E193">
            <v>0</v>
          </cell>
          <cell r="F193">
            <v>0</v>
          </cell>
        </row>
        <row r="194">
          <cell r="A194" t="str">
            <v>L612</v>
          </cell>
          <cell r="B194" t="str">
            <v>사업용 조종사</v>
          </cell>
          <cell r="C194" t="str">
            <v>인</v>
          </cell>
          <cell r="D194">
            <v>0</v>
          </cell>
          <cell r="E194">
            <v>0</v>
          </cell>
          <cell r="F194">
            <v>0</v>
          </cell>
        </row>
        <row r="195">
          <cell r="A195" t="str">
            <v>L613</v>
          </cell>
          <cell r="B195" t="str">
            <v>항법사</v>
          </cell>
          <cell r="C195" t="str">
            <v>인</v>
          </cell>
          <cell r="D195">
            <v>0</v>
          </cell>
          <cell r="E195">
            <v>0</v>
          </cell>
          <cell r="F195">
            <v>0</v>
          </cell>
        </row>
        <row r="196">
          <cell r="A196" t="str">
            <v>L614</v>
          </cell>
          <cell r="B196" t="str">
            <v>항공정비사</v>
          </cell>
          <cell r="C196" t="str">
            <v>인</v>
          </cell>
          <cell r="D196">
            <v>0</v>
          </cell>
          <cell r="E196">
            <v>0</v>
          </cell>
          <cell r="F196">
            <v>0</v>
          </cell>
        </row>
        <row r="197">
          <cell r="A197" t="str">
            <v>L615</v>
          </cell>
          <cell r="B197" t="str">
            <v>항공사진촬영사</v>
          </cell>
          <cell r="C197" t="str">
            <v>인</v>
          </cell>
          <cell r="D197">
            <v>0</v>
          </cell>
          <cell r="E197">
            <v>0</v>
          </cell>
          <cell r="F197">
            <v>0</v>
          </cell>
        </row>
        <row r="198">
          <cell r="A198" t="str">
            <v>L512</v>
          </cell>
          <cell r="B198" t="str">
            <v>상급원자력기술자</v>
          </cell>
          <cell r="C198" t="str">
            <v>인</v>
          </cell>
          <cell r="D198">
            <v>109491</v>
          </cell>
          <cell r="E198">
            <v>116994</v>
          </cell>
          <cell r="F198">
            <v>114125</v>
          </cell>
        </row>
        <row r="199">
          <cell r="A199" t="str">
            <v>L513</v>
          </cell>
          <cell r="B199" t="str">
            <v>원자력품질관리사</v>
          </cell>
          <cell r="C199" t="str">
            <v>인</v>
          </cell>
          <cell r="D199">
            <v>104799</v>
          </cell>
          <cell r="E199">
            <v>103736</v>
          </cell>
          <cell r="F199">
            <v>105586</v>
          </cell>
        </row>
        <row r="200">
          <cell r="A200" t="str">
            <v>L514</v>
          </cell>
          <cell r="B200" t="str">
            <v>원자력 특별인부</v>
          </cell>
          <cell r="C200" t="str">
            <v>인</v>
          </cell>
          <cell r="D200">
            <v>58187</v>
          </cell>
          <cell r="E200">
            <v>68094</v>
          </cell>
          <cell r="F200">
            <v>64294</v>
          </cell>
        </row>
        <row r="201">
          <cell r="A201" t="str">
            <v>L515</v>
          </cell>
          <cell r="B201" t="str">
            <v>원자력 보온공</v>
          </cell>
          <cell r="C201" t="str">
            <v>인</v>
          </cell>
          <cell r="D201">
            <v>65826</v>
          </cell>
          <cell r="E201">
            <v>83402</v>
          </cell>
          <cell r="F201">
            <v>89519</v>
          </cell>
        </row>
        <row r="202">
          <cell r="A202" t="str">
            <v>L516</v>
          </cell>
          <cell r="B202" t="str">
            <v>원자력 플랜트전공</v>
          </cell>
          <cell r="C202" t="str">
            <v>인</v>
          </cell>
          <cell r="D202">
            <v>84229</v>
          </cell>
          <cell r="E202">
            <v>93332</v>
          </cell>
          <cell r="F202">
            <v>98008</v>
          </cell>
        </row>
        <row r="203">
          <cell r="A203" t="str">
            <v>L170</v>
          </cell>
          <cell r="B203" t="str">
            <v>견 출 공</v>
          </cell>
          <cell r="C203" t="str">
            <v>인</v>
          </cell>
          <cell r="D203">
            <v>59133</v>
          </cell>
          <cell r="E203">
            <v>60023</v>
          </cell>
          <cell r="F203">
            <v>68717</v>
          </cell>
        </row>
        <row r="204">
          <cell r="A204" t="str">
            <v>L171</v>
          </cell>
          <cell r="B204" t="str">
            <v>노 즐 공</v>
          </cell>
          <cell r="C204" t="str">
            <v>인</v>
          </cell>
          <cell r="D204">
            <v>63577</v>
          </cell>
          <cell r="E204">
            <v>57373</v>
          </cell>
          <cell r="F204">
            <v>67815</v>
          </cell>
        </row>
        <row r="205">
          <cell r="A205" t="str">
            <v>L172</v>
          </cell>
          <cell r="B205" t="str">
            <v>코 킹 공</v>
          </cell>
          <cell r="C205" t="str">
            <v>인</v>
          </cell>
          <cell r="D205">
            <v>57954</v>
          </cell>
          <cell r="E205">
            <v>66077</v>
          </cell>
          <cell r="F205">
            <v>63600</v>
          </cell>
        </row>
        <row r="206">
          <cell r="A206" t="str">
            <v>L173</v>
          </cell>
          <cell r="B206" t="str">
            <v>판넬조립공</v>
          </cell>
          <cell r="C206" t="str">
            <v>인</v>
          </cell>
          <cell r="D206">
            <v>55888</v>
          </cell>
          <cell r="E206">
            <v>58782</v>
          </cell>
          <cell r="F206">
            <v>67380</v>
          </cell>
        </row>
        <row r="207">
          <cell r="A207" t="str">
            <v>L181</v>
          </cell>
          <cell r="B207" t="str">
            <v>콘크리트공(광의)</v>
          </cell>
          <cell r="C207" t="str">
            <v>인</v>
          </cell>
          <cell r="D207">
            <v>0</v>
          </cell>
          <cell r="E207">
            <v>0</v>
          </cell>
          <cell r="F207">
            <v>71078</v>
          </cell>
        </row>
        <row r="208">
          <cell r="A208" t="str">
            <v>L182</v>
          </cell>
          <cell r="B208" t="str">
            <v>지붕잇기공</v>
          </cell>
          <cell r="C208" t="str">
            <v>인</v>
          </cell>
          <cell r="D208">
            <v>68363</v>
          </cell>
          <cell r="E208">
            <v>64891</v>
          </cell>
          <cell r="F208">
            <v>69497</v>
          </cell>
        </row>
        <row r="209">
          <cell r="A209" t="str">
            <v>L801</v>
          </cell>
          <cell r="B209" t="str">
            <v>특급감리원</v>
          </cell>
          <cell r="C209" t="str">
            <v>인</v>
          </cell>
          <cell r="D209">
            <v>155637</v>
          </cell>
          <cell r="E209">
            <v>0</v>
          </cell>
          <cell r="F209">
            <v>0</v>
          </cell>
        </row>
        <row r="210">
          <cell r="A210" t="str">
            <v>L802</v>
          </cell>
          <cell r="B210" t="str">
            <v>고급감리원</v>
          </cell>
          <cell r="C210" t="str">
            <v>인</v>
          </cell>
          <cell r="D210">
            <v>124025</v>
          </cell>
          <cell r="E210">
            <v>0</v>
          </cell>
          <cell r="F210">
            <v>0</v>
          </cell>
        </row>
        <row r="211">
          <cell r="A211" t="str">
            <v>L803</v>
          </cell>
          <cell r="B211" t="str">
            <v>중급감리원</v>
          </cell>
          <cell r="C211" t="str">
            <v>인</v>
          </cell>
          <cell r="D211">
            <v>103036</v>
          </cell>
          <cell r="E211">
            <v>0</v>
          </cell>
          <cell r="F211">
            <v>0</v>
          </cell>
        </row>
        <row r="212">
          <cell r="A212" t="str">
            <v>L804</v>
          </cell>
          <cell r="B212" t="str">
            <v>초급감리원</v>
          </cell>
          <cell r="C212" t="str">
            <v>인</v>
          </cell>
          <cell r="D212">
            <v>83228</v>
          </cell>
          <cell r="E212">
            <v>0</v>
          </cell>
          <cell r="F212">
            <v>0</v>
          </cell>
        </row>
        <row r="213">
          <cell r="A213" t="str">
            <v>L901</v>
          </cell>
          <cell r="B213" t="str">
            <v>전기공사기사1급</v>
          </cell>
          <cell r="C213" t="str">
            <v>인</v>
          </cell>
          <cell r="D213">
            <v>63956</v>
          </cell>
          <cell r="E213">
            <v>0</v>
          </cell>
          <cell r="F213">
            <v>64241</v>
          </cell>
        </row>
        <row r="214">
          <cell r="A214" t="str">
            <v>L902</v>
          </cell>
          <cell r="B214" t="str">
            <v>전기공사기사2급</v>
          </cell>
          <cell r="C214" t="str">
            <v>인</v>
          </cell>
          <cell r="D214">
            <v>56130</v>
          </cell>
          <cell r="E214">
            <v>0</v>
          </cell>
          <cell r="F214">
            <v>55069</v>
          </cell>
        </row>
        <row r="215">
          <cell r="A215" t="str">
            <v>L903</v>
          </cell>
          <cell r="B215" t="str">
            <v>변전전공</v>
          </cell>
          <cell r="C215" t="str">
            <v>인</v>
          </cell>
          <cell r="D215">
            <v>85699</v>
          </cell>
          <cell r="E215">
            <v>0</v>
          </cell>
          <cell r="F215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uatation"/>
      <sheetName val="HW-표지"/>
      <sheetName val="PBX"/>
      <sheetName val="SERVERS1"/>
      <sheetName val="SERVERS2"/>
      <sheetName val="Recording,Phone,Headset"/>
      <sheetName val="ITI,SMS"/>
      <sheetName val="SW-표지"/>
      <sheetName val="TeleWeb,CTMP"/>
      <sheetName val="기타SW"/>
      <sheetName val="개발비-표지"/>
      <sheetName val="개발비"/>
      <sheetName val="기타-표지"/>
      <sheetName val="NETWORK"/>
      <sheetName val="Recording_Phone_Heads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환경변수"/>
      <sheetName val="표지"/>
      <sheetName val="개정이력"/>
      <sheetName val="프로그램목록"/>
      <sheetName val="프로그램목록(샘플)"/>
      <sheetName val="시스템식별자"/>
      <sheetName val="진척현황"/>
    </sheetNames>
    <sheetDataSet>
      <sheetData sheetId="0"/>
      <sheetData sheetId="1"/>
      <sheetData sheetId="2"/>
      <sheetData sheetId="3">
        <row r="6">
          <cell r="C6" t="str">
            <v>●</v>
          </cell>
        </row>
        <row r="11">
          <cell r="C11" t="str">
            <v>OLTP</v>
          </cell>
        </row>
        <row r="12">
          <cell r="C12" t="str">
            <v>BATCH</v>
          </cell>
        </row>
        <row r="13">
          <cell r="C13" t="str">
            <v>OLB</v>
          </cell>
        </row>
        <row r="14">
          <cell r="C14" t="str">
            <v>DEMON</v>
          </cell>
        </row>
        <row r="15">
          <cell r="C15" t="str">
            <v>BAM</v>
          </cell>
        </row>
        <row r="16">
          <cell r="C16" t="str">
            <v>CAM</v>
          </cell>
        </row>
      </sheetData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갑지"/>
      <sheetName val="EPro"/>
    </sheetNames>
    <sheetDataSet>
      <sheetData sheetId="0"/>
      <sheetData sheetId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izing"/>
      <sheetName val="Master"/>
      <sheetName val="Summary"/>
      <sheetName val="EXCEPTIONS"/>
      <sheetName val="Pricing"/>
      <sheetName val="Notes"/>
      <sheetName val="TPEC"/>
      <sheetName val="TPEC-C8c"/>
      <sheetName val="Other Functions"/>
      <sheetName val="Config Functions"/>
      <sheetName val="Phase0"/>
      <sheetName val="Price Summary"/>
      <sheetName val="Phase1"/>
      <sheetName val="Expansion1"/>
      <sheetName val="ERLANG"/>
    </sheetNames>
    <sheetDataSet>
      <sheetData sheetId="0"/>
      <sheetData sheetId="1" refreshError="1">
        <row r="15">
          <cell r="B15">
            <v>1</v>
          </cell>
        </row>
        <row r="48">
          <cell r="C48" t="str">
            <v>Phase 1</v>
          </cell>
        </row>
        <row r="52">
          <cell r="C52">
            <v>31093.604212499999</v>
          </cell>
        </row>
      </sheetData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/>
      <sheetData sheetId="11"/>
      <sheetData sheetId="12"/>
      <sheetData sheetId="13"/>
      <sheetData sheetId="1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rt"/>
      <sheetName val="ASM"/>
      <sheetName val="Infolink"/>
      <sheetName val="Storage"/>
      <sheetName val="Apps"/>
      <sheetName val="CC"/>
      <sheetName val="HW"/>
      <sheetName val="Summary"/>
      <sheetName val="PriceSheet"/>
      <sheetName val="AutoPS"/>
      <sheetName val="RacksLayout"/>
      <sheetName val="Racks"/>
      <sheetName val="Attachments"/>
    </sheetNames>
    <sheetDataSet>
      <sheetData sheetId="0">
        <row r="6">
          <cell r="C6" t="str">
            <v>Telstra IS&amp;W</v>
          </cell>
        </row>
        <row r="7">
          <cell r="C7" t="str">
            <v>Newcastle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합천내역"/>
      <sheetName val="재료율"/>
      <sheetName val="일위"/>
      <sheetName val="심사계산"/>
      <sheetName val="심사물량"/>
      <sheetName val="기초자료입력"/>
      <sheetName val="xSeries255"/>
      <sheetName val="Edit"/>
      <sheetName val="Master Data"/>
      <sheetName val="Edit(01)"/>
      <sheetName val="일위(PN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요약표"/>
      <sheetName val="서울1"/>
      <sheetName val="서울2"/>
      <sheetName val="부산 "/>
      <sheetName val="대구"/>
      <sheetName val="대전"/>
      <sheetName val="광주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원가표"/>
      <sheetName val="견적서"/>
      <sheetName val="상세내역"/>
      <sheetName val="입력"/>
      <sheetName val="넥서스견적"/>
      <sheetName val="DS20 (2)"/>
      <sheetName val="PLT5500"/>
      <sheetName val="예스텍_16회선 "/>
      <sheetName val="예스텍_E1"/>
      <sheetName val="예비품입력"/>
      <sheetName val="공사비입력"/>
      <sheetName val="부대물자입력"/>
      <sheetName val="정류기"/>
      <sheetName val="밧데리"/>
      <sheetName val="실장도"/>
      <sheetName val="Sheet9"/>
      <sheetName val="Sheet10"/>
      <sheetName val="Sheet11"/>
      <sheetName val="Sheet12"/>
      <sheetName val="Sheet13"/>
      <sheetName val="Sheet14"/>
      <sheetName val="Sheet15"/>
      <sheetName val="Sheet1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입력"/>
      <sheetName val="예비품입력"/>
      <sheetName val="공사비입력"/>
      <sheetName val="부대물자입력"/>
      <sheetName val="정류기"/>
      <sheetName val="밧데리"/>
      <sheetName val="실장도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견적서 N"/>
      <sheetName val="CHANNEL_DM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2">
          <cell r="B2" t="str">
            <v>15A</v>
          </cell>
          <cell r="C2">
            <v>485000</v>
          </cell>
        </row>
        <row r="3">
          <cell r="B3" t="str">
            <v>20A</v>
          </cell>
          <cell r="C3">
            <v>585000</v>
          </cell>
        </row>
        <row r="4">
          <cell r="B4" t="str">
            <v>30A</v>
          </cell>
          <cell r="C4">
            <v>825000</v>
          </cell>
        </row>
        <row r="5">
          <cell r="B5" t="str">
            <v>30AD</v>
          </cell>
          <cell r="C5">
            <v>1850000</v>
          </cell>
        </row>
        <row r="6">
          <cell r="B6" t="str">
            <v>50A</v>
          </cell>
          <cell r="C6">
            <v>1070000</v>
          </cell>
        </row>
        <row r="7">
          <cell r="B7" t="str">
            <v>50AD</v>
          </cell>
          <cell r="C7">
            <v>2480000</v>
          </cell>
        </row>
        <row r="8">
          <cell r="B8" t="str">
            <v>60A</v>
          </cell>
          <cell r="C8">
            <v>1200000</v>
          </cell>
        </row>
        <row r="9">
          <cell r="B9" t="str">
            <v>60AD</v>
          </cell>
          <cell r="C9">
            <v>2650000</v>
          </cell>
        </row>
        <row r="10">
          <cell r="B10" t="str">
            <v>75A</v>
          </cell>
          <cell r="C10">
            <v>1250000</v>
          </cell>
        </row>
        <row r="11">
          <cell r="B11" t="str">
            <v>75AD</v>
          </cell>
          <cell r="C11">
            <v>3000000</v>
          </cell>
        </row>
        <row r="12">
          <cell r="B12" t="str">
            <v>80A</v>
          </cell>
          <cell r="C12">
            <v>1400000</v>
          </cell>
        </row>
        <row r="13">
          <cell r="B13" t="str">
            <v>80AD</v>
          </cell>
          <cell r="C13">
            <v>3150000</v>
          </cell>
        </row>
        <row r="14">
          <cell r="B14" t="str">
            <v>100A</v>
          </cell>
          <cell r="C14">
            <v>1600000</v>
          </cell>
        </row>
        <row r="15">
          <cell r="B15" t="str">
            <v>100AD</v>
          </cell>
          <cell r="C15">
            <v>3450000</v>
          </cell>
        </row>
        <row r="16">
          <cell r="B16" t="str">
            <v>120AD</v>
          </cell>
          <cell r="C16">
            <v>3800000</v>
          </cell>
        </row>
        <row r="17">
          <cell r="B17" t="str">
            <v>150AD</v>
          </cell>
          <cell r="C17">
            <v>4600000</v>
          </cell>
        </row>
        <row r="18">
          <cell r="B18" t="str">
            <v>200AD</v>
          </cell>
          <cell r="C18">
            <v>6150000</v>
          </cell>
        </row>
        <row r="19">
          <cell r="B19" t="str">
            <v>300AD</v>
          </cell>
          <cell r="C19">
            <v>9660000</v>
          </cell>
        </row>
        <row r="20">
          <cell r="B20" t="str">
            <v>400AD</v>
          </cell>
          <cell r="C20">
            <v>12150000</v>
          </cell>
        </row>
        <row r="21">
          <cell r="B21" t="str">
            <v>500AD</v>
          </cell>
          <cell r="C21">
            <v>13650000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j 주간실적"/>
      <sheetName val="Prj 투입현황"/>
      <sheetName val="prj Risk관리"/>
      <sheetName val="prj 이슈관리"/>
      <sheetName val="Prj 주요현황"/>
      <sheetName val="prj 준수율관리"/>
      <sheetName val="표지"/>
      <sheetName val="프로젝트관리"/>
      <sheetName val="분석 및 설계"/>
      <sheetName val="구현"/>
      <sheetName val="배포 및 이행"/>
      <sheetName val="안정화"/>
      <sheetName val="기초설정"/>
    </sheetNames>
    <sheetDataSet>
      <sheetData sheetId="0"/>
      <sheetData sheetId="1"/>
      <sheetData sheetId="2">
        <row r="5">
          <cell r="H5">
            <v>0</v>
          </cell>
        </row>
      </sheetData>
      <sheetData sheetId="3">
        <row r="5">
          <cell r="F5">
            <v>0</v>
          </cell>
        </row>
      </sheetData>
      <sheetData sheetId="4"/>
      <sheetData sheetId="5"/>
      <sheetData sheetId="6">
        <row r="4">
          <cell r="H4" t="str">
            <v>진도율 기준일</v>
          </cell>
        </row>
      </sheetData>
      <sheetData sheetId="7">
        <row r="11">
          <cell r="F11">
            <v>0</v>
          </cell>
        </row>
      </sheetData>
      <sheetData sheetId="8">
        <row r="11">
          <cell r="F11">
            <v>0</v>
          </cell>
        </row>
      </sheetData>
      <sheetData sheetId="9">
        <row r="11">
          <cell r="F11">
            <v>0</v>
          </cell>
        </row>
      </sheetData>
      <sheetData sheetId="10">
        <row r="11">
          <cell r="F11">
            <v>0</v>
          </cell>
        </row>
      </sheetData>
      <sheetData sheetId="11">
        <row r="11">
          <cell r="F11">
            <v>0</v>
          </cell>
        </row>
      </sheetData>
      <sheetData sheetId="12">
        <row r="12">
          <cell r="F12">
            <v>41275</v>
          </cell>
          <cell r="G12">
            <v>41640</v>
          </cell>
          <cell r="H12">
            <v>42005</v>
          </cell>
          <cell r="I12">
            <v>42370</v>
          </cell>
          <cell r="J12">
            <v>42736</v>
          </cell>
          <cell r="K12">
            <v>43101</v>
          </cell>
          <cell r="L12">
            <v>43466</v>
          </cell>
          <cell r="M12">
            <v>43831</v>
          </cell>
        </row>
        <row r="13">
          <cell r="F13">
            <v>41314</v>
          </cell>
          <cell r="G13">
            <v>41669</v>
          </cell>
          <cell r="H13">
            <v>42053</v>
          </cell>
          <cell r="I13">
            <v>42407</v>
          </cell>
          <cell r="J13">
            <v>42762</v>
          </cell>
          <cell r="K13">
            <v>43146</v>
          </cell>
          <cell r="L13">
            <v>43500</v>
          </cell>
          <cell r="M13">
            <v>43854</v>
          </cell>
        </row>
        <row r="14">
          <cell r="F14">
            <v>41315</v>
          </cell>
          <cell r="G14">
            <v>41670</v>
          </cell>
          <cell r="H14">
            <v>42054</v>
          </cell>
          <cell r="I14">
            <v>42408</v>
          </cell>
          <cell r="J14">
            <v>42763</v>
          </cell>
          <cell r="K14">
            <v>43147</v>
          </cell>
          <cell r="L14">
            <v>43501</v>
          </cell>
          <cell r="M14">
            <v>40205</v>
          </cell>
        </row>
        <row r="15">
          <cell r="F15">
            <v>41316</v>
          </cell>
          <cell r="G15">
            <v>41671</v>
          </cell>
          <cell r="H15">
            <v>42055</v>
          </cell>
          <cell r="I15">
            <v>42409</v>
          </cell>
          <cell r="J15">
            <v>42764</v>
          </cell>
          <cell r="K15">
            <v>43148</v>
          </cell>
          <cell r="L15">
            <v>43502</v>
          </cell>
          <cell r="M15">
            <v>0</v>
          </cell>
        </row>
        <row r="16">
          <cell r="F16">
            <v>41334</v>
          </cell>
          <cell r="G16">
            <v>41699</v>
          </cell>
          <cell r="H16">
            <v>42064</v>
          </cell>
          <cell r="I16">
            <v>42430</v>
          </cell>
          <cell r="J16">
            <v>42795</v>
          </cell>
          <cell r="K16">
            <v>43160</v>
          </cell>
          <cell r="L16">
            <v>43525</v>
          </cell>
          <cell r="M16">
            <v>43891</v>
          </cell>
        </row>
        <row r="17">
          <cell r="F17">
            <v>41395</v>
          </cell>
          <cell r="G17">
            <v>41760</v>
          </cell>
          <cell r="H17">
            <v>42125</v>
          </cell>
          <cell r="I17">
            <v>42491</v>
          </cell>
          <cell r="J17">
            <v>42856</v>
          </cell>
          <cell r="K17">
            <v>43221</v>
          </cell>
          <cell r="L17">
            <v>43586</v>
          </cell>
          <cell r="M17">
            <v>43952</v>
          </cell>
        </row>
        <row r="18">
          <cell r="F18">
            <v>41399</v>
          </cell>
          <cell r="G18">
            <v>41764</v>
          </cell>
          <cell r="H18">
            <v>42129</v>
          </cell>
          <cell r="I18">
            <v>42495</v>
          </cell>
          <cell r="J18">
            <v>42860</v>
          </cell>
          <cell r="K18">
            <v>43225</v>
          </cell>
          <cell r="L18">
            <v>43590</v>
          </cell>
          <cell r="M18">
            <v>43956</v>
          </cell>
        </row>
        <row r="19">
          <cell r="F19">
            <v>41411</v>
          </cell>
          <cell r="G19">
            <v>41765</v>
          </cell>
          <cell r="H19">
            <v>42149</v>
          </cell>
          <cell r="I19">
            <v>42504</v>
          </cell>
          <cell r="J19">
            <v>42858</v>
          </cell>
          <cell r="K19">
            <v>43242</v>
          </cell>
          <cell r="L19">
            <v>43597</v>
          </cell>
          <cell r="M19">
            <v>43963</v>
          </cell>
        </row>
        <row r="20">
          <cell r="F20">
            <v>41431</v>
          </cell>
          <cell r="G20">
            <v>41796</v>
          </cell>
          <cell r="H20">
            <v>42161</v>
          </cell>
          <cell r="I20">
            <v>42527</v>
          </cell>
          <cell r="J20">
            <v>42892</v>
          </cell>
          <cell r="K20">
            <v>43257</v>
          </cell>
          <cell r="L20">
            <v>43622</v>
          </cell>
          <cell r="M20">
            <v>43988</v>
          </cell>
        </row>
        <row r="21"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</row>
        <row r="22">
          <cell r="F22">
            <v>41501</v>
          </cell>
          <cell r="G22">
            <v>41866</v>
          </cell>
          <cell r="H22">
            <v>42231</v>
          </cell>
          <cell r="I22">
            <v>42597</v>
          </cell>
          <cell r="J22">
            <v>42962</v>
          </cell>
          <cell r="K22">
            <v>43327</v>
          </cell>
          <cell r="L22">
            <v>43692</v>
          </cell>
          <cell r="M22">
            <v>44058</v>
          </cell>
        </row>
        <row r="23">
          <cell r="F23">
            <v>41535</v>
          </cell>
          <cell r="G23">
            <v>41889</v>
          </cell>
          <cell r="H23">
            <v>42273</v>
          </cell>
          <cell r="I23">
            <v>42627</v>
          </cell>
          <cell r="J23">
            <v>43011</v>
          </cell>
          <cell r="K23">
            <v>43366</v>
          </cell>
          <cell r="L23">
            <v>43720</v>
          </cell>
          <cell r="M23">
            <v>44106</v>
          </cell>
        </row>
        <row r="24">
          <cell r="F24">
            <v>41536</v>
          </cell>
          <cell r="G24">
            <v>41890</v>
          </cell>
          <cell r="H24">
            <v>42274</v>
          </cell>
          <cell r="I24">
            <v>42628</v>
          </cell>
          <cell r="J24">
            <v>43012</v>
          </cell>
          <cell r="K24">
            <v>43367</v>
          </cell>
          <cell r="L24">
            <v>43721</v>
          </cell>
          <cell r="M24">
            <v>0</v>
          </cell>
        </row>
        <row r="25">
          <cell r="F25">
            <v>41537</v>
          </cell>
          <cell r="G25">
            <v>41891</v>
          </cell>
          <cell r="H25">
            <v>42275</v>
          </cell>
          <cell r="I25">
            <v>42629</v>
          </cell>
          <cell r="J25">
            <v>43013</v>
          </cell>
          <cell r="K25">
            <v>43368</v>
          </cell>
          <cell r="L25">
            <v>43722</v>
          </cell>
          <cell r="M25">
            <v>0</v>
          </cell>
        </row>
        <row r="26">
          <cell r="F26">
            <v>41550</v>
          </cell>
          <cell r="G26">
            <v>41915</v>
          </cell>
          <cell r="H26">
            <v>42280</v>
          </cell>
          <cell r="I26">
            <v>42646</v>
          </cell>
          <cell r="J26">
            <v>43011</v>
          </cell>
          <cell r="K26">
            <v>43376</v>
          </cell>
          <cell r="L26">
            <v>43741</v>
          </cell>
          <cell r="M26">
            <v>44107</v>
          </cell>
        </row>
        <row r="27">
          <cell r="F27">
            <v>41556</v>
          </cell>
          <cell r="G27">
            <v>41921</v>
          </cell>
          <cell r="H27">
            <v>42286</v>
          </cell>
          <cell r="I27">
            <v>42652</v>
          </cell>
          <cell r="J27">
            <v>43017</v>
          </cell>
          <cell r="K27">
            <v>43382</v>
          </cell>
          <cell r="L27">
            <v>43747</v>
          </cell>
          <cell r="M27">
            <v>44113</v>
          </cell>
        </row>
        <row r="28">
          <cell r="F28">
            <v>41633</v>
          </cell>
          <cell r="G28">
            <v>41998</v>
          </cell>
          <cell r="H28">
            <v>42363</v>
          </cell>
          <cell r="I28">
            <v>42729</v>
          </cell>
          <cell r="J28">
            <v>43094</v>
          </cell>
          <cell r="K28">
            <v>43459</v>
          </cell>
          <cell r="L28">
            <v>43824</v>
          </cell>
          <cell r="M28">
            <v>44190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연습"/>
      <sheetName val="FIRST"/>
      <sheetName val="LETTER"/>
      <sheetName val="아셈 거푸집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14"/>
  <sheetViews>
    <sheetView showGridLines="0" tabSelected="1" zoomScaleNormal="100" workbookViewId="0">
      <selection activeCell="H5" sqref="H5"/>
    </sheetView>
  </sheetViews>
  <sheetFormatPr defaultRowHeight="16.5" x14ac:dyDescent="0.3"/>
  <cols>
    <col min="1" max="1" width="2.5" customWidth="1"/>
    <col min="2" max="7" width="13.625" customWidth="1"/>
    <col min="8" max="8" width="39.625" customWidth="1"/>
  </cols>
  <sheetData>
    <row r="1" spans="2:9" ht="25.5" customHeight="1" x14ac:dyDescent="0.3">
      <c r="B1" s="43" t="s">
        <v>70</v>
      </c>
      <c r="C1" s="43"/>
      <c r="D1" s="43"/>
      <c r="E1" s="43"/>
      <c r="F1" s="43"/>
      <c r="G1" s="43"/>
      <c r="H1" s="43"/>
    </row>
    <row r="2" spans="2:9" ht="9.75" customHeight="1" x14ac:dyDescent="0.3"/>
    <row r="3" spans="2:9" x14ac:dyDescent="0.3">
      <c r="B3" s="47"/>
      <c r="C3" s="23" t="s">
        <v>0</v>
      </c>
      <c r="D3" s="48" t="s">
        <v>71</v>
      </c>
      <c r="E3" s="48"/>
      <c r="F3" s="48"/>
      <c r="G3" s="48"/>
      <c r="H3" s="48"/>
    </row>
    <row r="4" spans="2:9" x14ac:dyDescent="0.2">
      <c r="B4" s="47"/>
      <c r="C4" s="24" t="s">
        <v>1</v>
      </c>
      <c r="D4" s="50" t="s">
        <v>68</v>
      </c>
      <c r="E4" s="51"/>
      <c r="F4" s="51"/>
      <c r="G4" s="51"/>
      <c r="H4" s="52"/>
    </row>
    <row r="5" spans="2:9" x14ac:dyDescent="0.2">
      <c r="B5" s="47"/>
      <c r="C5" s="25" t="s">
        <v>35</v>
      </c>
      <c r="D5" s="49" t="s">
        <v>64</v>
      </c>
      <c r="E5" s="49"/>
      <c r="F5" s="49"/>
      <c r="G5" s="40" t="s">
        <v>36</v>
      </c>
      <c r="H5" s="31" t="str">
        <f>COUNTIF('Prj Activity 관리'!E4:E100, "진행중") &amp; "건"</f>
        <v>0건</v>
      </c>
    </row>
    <row r="6" spans="2:9" x14ac:dyDescent="0.2">
      <c r="B6" s="47"/>
      <c r="C6" s="24" t="s">
        <v>2</v>
      </c>
      <c r="D6" s="58" t="str">
        <f>COUNTIF('Prj 이슈관리'!G5:G41,"진행중") &amp; " 건"</f>
        <v>0 건</v>
      </c>
      <c r="E6" s="59"/>
      <c r="F6" s="59"/>
      <c r="G6" s="40" t="s">
        <v>51</v>
      </c>
      <c r="H6" s="1" t="str">
        <f>COUNTIF('Prj Risk관리'!I5:I84, "진행중") &amp; " 건"</f>
        <v>0 건</v>
      </c>
    </row>
    <row r="7" spans="2:9" x14ac:dyDescent="0.2">
      <c r="B7" s="47"/>
      <c r="C7" s="53" t="s">
        <v>3</v>
      </c>
      <c r="D7" s="53"/>
      <c r="E7" s="53"/>
      <c r="F7" s="53"/>
      <c r="G7" s="53" t="s">
        <v>4</v>
      </c>
      <c r="H7" s="53"/>
    </row>
    <row r="8" spans="2:9" ht="42" customHeight="1" x14ac:dyDescent="0.3">
      <c r="B8" s="2" t="s">
        <v>5</v>
      </c>
      <c r="C8" s="54"/>
      <c r="D8" s="54"/>
      <c r="E8" s="54"/>
      <c r="F8" s="54"/>
      <c r="G8" s="41"/>
      <c r="H8" s="42"/>
      <c r="I8" s="39"/>
    </row>
    <row r="9" spans="2:9" ht="51.75" customHeight="1" x14ac:dyDescent="0.3">
      <c r="B9" s="2" t="s">
        <v>6</v>
      </c>
      <c r="C9" s="45"/>
      <c r="D9" s="55"/>
      <c r="E9" s="55"/>
      <c r="F9" s="46"/>
      <c r="G9" s="56"/>
      <c r="H9" s="57"/>
    </row>
    <row r="10" spans="2:9" ht="243" customHeight="1" x14ac:dyDescent="0.3">
      <c r="B10" s="3" t="s">
        <v>7</v>
      </c>
      <c r="C10" s="60" t="s">
        <v>65</v>
      </c>
      <c r="D10" s="44"/>
      <c r="E10" s="44"/>
      <c r="F10" s="42"/>
      <c r="G10" s="61" t="s">
        <v>66</v>
      </c>
      <c r="H10" s="62"/>
    </row>
    <row r="11" spans="2:9" ht="30" customHeight="1" x14ac:dyDescent="0.3">
      <c r="B11" s="2" t="s">
        <v>41</v>
      </c>
      <c r="C11" s="63"/>
      <c r="D11" s="64"/>
      <c r="E11" s="64"/>
      <c r="F11" s="65"/>
      <c r="G11" s="56" t="s">
        <v>67</v>
      </c>
      <c r="H11" s="46"/>
    </row>
    <row r="12" spans="2:9" ht="30" customHeight="1" x14ac:dyDescent="0.3">
      <c r="B12" s="3" t="s">
        <v>8</v>
      </c>
      <c r="C12" s="41"/>
      <c r="D12" s="44"/>
      <c r="E12" s="44"/>
      <c r="F12" s="42"/>
      <c r="G12" s="45"/>
      <c r="H12" s="46"/>
    </row>
    <row r="13" spans="2:9" ht="30" customHeight="1" x14ac:dyDescent="0.3">
      <c r="B13" s="3" t="s">
        <v>9</v>
      </c>
      <c r="C13" s="68"/>
      <c r="D13" s="69"/>
      <c r="E13" s="69"/>
      <c r="F13" s="69"/>
      <c r="G13" s="69"/>
      <c r="H13" s="70"/>
    </row>
    <row r="14" spans="2:9" ht="30" customHeight="1" x14ac:dyDescent="0.3">
      <c r="B14" s="38" t="s">
        <v>10</v>
      </c>
      <c r="C14" s="66"/>
      <c r="D14" s="66"/>
      <c r="E14" s="66"/>
      <c r="F14" s="67"/>
      <c r="G14" s="67"/>
      <c r="H14" s="67"/>
    </row>
  </sheetData>
  <mergeCells count="20">
    <mergeCell ref="C11:F11"/>
    <mergeCell ref="G11:H11"/>
    <mergeCell ref="C14:H14"/>
    <mergeCell ref="C13:H13"/>
    <mergeCell ref="G8:H8"/>
    <mergeCell ref="B1:H1"/>
    <mergeCell ref="C12:F12"/>
    <mergeCell ref="G12:H12"/>
    <mergeCell ref="B3:B7"/>
    <mergeCell ref="D3:H3"/>
    <mergeCell ref="D5:F5"/>
    <mergeCell ref="D4:H4"/>
    <mergeCell ref="C7:F7"/>
    <mergeCell ref="G7:H7"/>
    <mergeCell ref="C8:F8"/>
    <mergeCell ref="C9:F9"/>
    <mergeCell ref="G9:H9"/>
    <mergeCell ref="D6:F6"/>
    <mergeCell ref="C10:F10"/>
    <mergeCell ref="G10:H10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CD51D-7088-44FB-8F23-914812D5D55F}">
  <sheetPr>
    <tabColor theme="0" tint="-0.14999847407452621"/>
  </sheetPr>
  <dimension ref="A1:H100"/>
  <sheetViews>
    <sheetView showGridLines="0" zoomScaleNormal="100" zoomScaleSheetLayoutView="100" workbookViewId="0">
      <pane xSplit="6" ySplit="3" topLeftCell="G4" activePane="bottomRight" state="frozen"/>
      <selection pane="topRight" activeCell="G1" sqref="G1"/>
      <selection pane="bottomLeft" activeCell="A4" sqref="A4"/>
      <selection pane="bottomRight" activeCell="C2" sqref="C2:D2"/>
    </sheetView>
  </sheetViews>
  <sheetFormatPr defaultColWidth="9" defaultRowHeight="16.5" x14ac:dyDescent="0.3"/>
  <cols>
    <col min="1" max="1" width="12.625" style="37" customWidth="1"/>
    <col min="2" max="2" width="35.5" style="4" bestFit="1" customWidth="1"/>
    <col min="3" max="3" width="14.625" style="4" customWidth="1"/>
    <col min="4" max="6" width="14.625" style="37" customWidth="1"/>
    <col min="7" max="7" width="14.625" style="4" customWidth="1"/>
    <col min="8" max="8" width="29.5" style="4" customWidth="1"/>
    <col min="9" max="16384" width="9" style="4"/>
  </cols>
  <sheetData>
    <row r="1" spans="1:8" s="33" customFormat="1" ht="30" customHeight="1" x14ac:dyDescent="0.3">
      <c r="A1" s="71" t="s">
        <v>37</v>
      </c>
      <c r="B1" s="72"/>
      <c r="C1" s="72"/>
      <c r="D1" s="72"/>
      <c r="E1" s="72"/>
      <c r="F1" s="72"/>
      <c r="G1" s="72"/>
      <c r="H1" s="73"/>
    </row>
    <row r="2" spans="1:8" s="33" customFormat="1" ht="30" customHeight="1" thickBot="1" x14ac:dyDescent="0.35">
      <c r="A2" s="74" t="s">
        <v>38</v>
      </c>
      <c r="B2" s="75"/>
      <c r="C2" s="76" t="s">
        <v>72</v>
      </c>
      <c r="D2" s="77"/>
      <c r="E2" s="78" t="s">
        <v>39</v>
      </c>
      <c r="F2" s="79"/>
      <c r="G2" s="80">
        <v>43833</v>
      </c>
      <c r="H2" s="81"/>
    </row>
    <row r="3" spans="1:8" ht="24.75" customHeight="1" thickTop="1" x14ac:dyDescent="0.3">
      <c r="A3" s="34" t="s">
        <v>40</v>
      </c>
      <c r="B3" s="34" t="s">
        <v>31</v>
      </c>
      <c r="C3" s="34" t="s">
        <v>15</v>
      </c>
      <c r="D3" s="34" t="s">
        <v>32</v>
      </c>
      <c r="E3" s="34" t="s">
        <v>33</v>
      </c>
      <c r="F3" s="34" t="s">
        <v>34</v>
      </c>
      <c r="G3" s="34" t="s">
        <v>20</v>
      </c>
      <c r="H3" s="34" t="s">
        <v>10</v>
      </c>
    </row>
    <row r="4" spans="1:8" x14ac:dyDescent="0.3">
      <c r="A4" s="27" t="s">
        <v>44</v>
      </c>
      <c r="B4" s="28" t="s">
        <v>52</v>
      </c>
      <c r="C4" s="29">
        <v>43811</v>
      </c>
      <c r="D4" s="26" t="s">
        <v>45</v>
      </c>
      <c r="E4" s="30" t="s">
        <v>62</v>
      </c>
      <c r="F4" s="29">
        <v>43822</v>
      </c>
      <c r="G4" s="29">
        <v>43840</v>
      </c>
      <c r="H4" s="28"/>
    </row>
    <row r="5" spans="1:8" ht="24" x14ac:dyDescent="0.3">
      <c r="A5" s="27" t="s">
        <v>48</v>
      </c>
      <c r="B5" s="28" t="s">
        <v>49</v>
      </c>
      <c r="C5" s="29">
        <v>43833</v>
      </c>
      <c r="D5" s="26" t="s">
        <v>45</v>
      </c>
      <c r="E5" s="30" t="s">
        <v>62</v>
      </c>
      <c r="F5" s="29"/>
      <c r="G5" s="29">
        <v>43840</v>
      </c>
      <c r="H5" s="28"/>
    </row>
    <row r="6" spans="1:8" x14ac:dyDescent="0.3">
      <c r="A6" s="27" t="s">
        <v>57</v>
      </c>
      <c r="B6" s="28" t="s">
        <v>53</v>
      </c>
      <c r="C6" s="29">
        <v>43844</v>
      </c>
      <c r="D6" s="26" t="s">
        <v>61</v>
      </c>
      <c r="E6" s="30" t="s">
        <v>62</v>
      </c>
      <c r="F6" s="29">
        <v>43847</v>
      </c>
      <c r="G6" s="29">
        <v>43851</v>
      </c>
      <c r="H6" s="28"/>
    </row>
    <row r="7" spans="1:8" x14ac:dyDescent="0.3">
      <c r="A7" s="27" t="s">
        <v>58</v>
      </c>
      <c r="B7" s="28" t="s">
        <v>54</v>
      </c>
      <c r="C7" s="29">
        <v>43844</v>
      </c>
      <c r="D7" s="26" t="s">
        <v>61</v>
      </c>
      <c r="E7" s="30" t="s">
        <v>62</v>
      </c>
      <c r="F7" s="29">
        <v>43847</v>
      </c>
      <c r="G7" s="29">
        <v>43851</v>
      </c>
      <c r="H7" s="28"/>
    </row>
    <row r="8" spans="1:8" x14ac:dyDescent="0.3">
      <c r="A8" s="27" t="s">
        <v>59</v>
      </c>
      <c r="B8" s="28" t="s">
        <v>55</v>
      </c>
      <c r="C8" s="29">
        <v>43844</v>
      </c>
      <c r="D8" s="26" t="s">
        <v>61</v>
      </c>
      <c r="E8" s="30" t="s">
        <v>62</v>
      </c>
      <c r="F8" s="29">
        <v>43847</v>
      </c>
      <c r="G8" s="29">
        <v>43851</v>
      </c>
      <c r="H8" s="28"/>
    </row>
    <row r="9" spans="1:8" x14ac:dyDescent="0.3">
      <c r="A9" s="27" t="s">
        <v>60</v>
      </c>
      <c r="B9" s="28" t="s">
        <v>56</v>
      </c>
      <c r="C9" s="29">
        <v>43844</v>
      </c>
      <c r="D9" s="26" t="s">
        <v>61</v>
      </c>
      <c r="E9" s="30" t="s">
        <v>62</v>
      </c>
      <c r="F9" s="29">
        <v>43847</v>
      </c>
      <c r="G9" s="29">
        <v>43851</v>
      </c>
      <c r="H9" s="28"/>
    </row>
    <row r="10" spans="1:8" x14ac:dyDescent="0.3">
      <c r="A10" s="27"/>
      <c r="B10" s="28"/>
      <c r="C10" s="29"/>
      <c r="D10" s="26"/>
      <c r="E10" s="30"/>
      <c r="F10" s="29"/>
      <c r="G10" s="29"/>
      <c r="H10" s="28"/>
    </row>
    <row r="11" spans="1:8" x14ac:dyDescent="0.3">
      <c r="A11" s="27"/>
      <c r="B11" s="28"/>
      <c r="C11" s="29"/>
      <c r="D11" s="26"/>
      <c r="E11" s="30"/>
      <c r="F11" s="29"/>
      <c r="G11" s="29"/>
      <c r="H11" s="28"/>
    </row>
    <row r="12" spans="1:8" x14ac:dyDescent="0.3">
      <c r="A12" s="6"/>
      <c r="B12" s="28"/>
      <c r="C12" s="9"/>
      <c r="D12" s="26"/>
      <c r="E12" s="19"/>
      <c r="F12" s="9"/>
      <c r="G12" s="9"/>
      <c r="H12" s="35"/>
    </row>
    <row r="13" spans="1:8" x14ac:dyDescent="0.3">
      <c r="A13" s="6"/>
      <c r="B13" s="28"/>
      <c r="C13" s="9"/>
      <c r="D13" s="26"/>
      <c r="E13" s="19"/>
      <c r="F13" s="9"/>
      <c r="G13" s="9"/>
      <c r="H13" s="35"/>
    </row>
    <row r="14" spans="1:8" x14ac:dyDescent="0.3">
      <c r="A14" s="6"/>
      <c r="B14" s="28"/>
      <c r="C14" s="9"/>
      <c r="D14" s="26"/>
      <c r="E14" s="19"/>
      <c r="F14" s="9"/>
      <c r="G14" s="9"/>
      <c r="H14" s="35"/>
    </row>
    <row r="15" spans="1:8" x14ac:dyDescent="0.3">
      <c r="A15" s="6"/>
      <c r="B15" s="28"/>
      <c r="C15" s="9"/>
      <c r="D15" s="26"/>
      <c r="E15" s="19"/>
      <c r="F15" s="9"/>
      <c r="G15" s="9"/>
      <c r="H15" s="35"/>
    </row>
    <row r="16" spans="1:8" x14ac:dyDescent="0.3">
      <c r="A16" s="6"/>
      <c r="B16" s="28"/>
      <c r="C16" s="9"/>
      <c r="D16" s="26"/>
      <c r="E16" s="19"/>
      <c r="F16" s="9"/>
      <c r="G16" s="9"/>
      <c r="H16" s="35"/>
    </row>
    <row r="17" spans="1:8" x14ac:dyDescent="0.3">
      <c r="A17" s="6"/>
      <c r="B17" s="28"/>
      <c r="C17" s="9"/>
      <c r="D17" s="26"/>
      <c r="E17" s="19"/>
      <c r="F17" s="9"/>
      <c r="G17" s="9"/>
      <c r="H17" s="35"/>
    </row>
    <row r="18" spans="1:8" x14ac:dyDescent="0.3">
      <c r="A18" s="6"/>
      <c r="B18" s="28"/>
      <c r="C18" s="9"/>
      <c r="D18" s="26"/>
      <c r="E18" s="19"/>
      <c r="F18" s="9"/>
      <c r="G18" s="9"/>
      <c r="H18" s="35"/>
    </row>
    <row r="19" spans="1:8" x14ac:dyDescent="0.3">
      <c r="A19" s="6"/>
      <c r="B19" s="28"/>
      <c r="C19" s="9"/>
      <c r="D19" s="26"/>
      <c r="E19" s="19"/>
      <c r="F19" s="9"/>
      <c r="G19" s="9"/>
      <c r="H19" s="35"/>
    </row>
    <row r="20" spans="1:8" x14ac:dyDescent="0.3">
      <c r="A20" s="6"/>
      <c r="B20" s="28"/>
      <c r="C20" s="9"/>
      <c r="D20" s="26"/>
      <c r="E20" s="19"/>
      <c r="F20" s="9"/>
      <c r="G20" s="9"/>
      <c r="H20" s="35"/>
    </row>
    <row r="21" spans="1:8" x14ac:dyDescent="0.3">
      <c r="A21" s="6"/>
      <c r="B21" s="28"/>
      <c r="C21" s="9"/>
      <c r="D21" s="26"/>
      <c r="E21" s="19"/>
      <c r="F21" s="9"/>
      <c r="G21" s="9"/>
      <c r="H21" s="35"/>
    </row>
    <row r="22" spans="1:8" x14ac:dyDescent="0.3">
      <c r="A22" s="6"/>
      <c r="B22" s="28"/>
      <c r="C22" s="9"/>
      <c r="D22" s="26"/>
      <c r="E22" s="19"/>
      <c r="F22" s="9"/>
      <c r="G22" s="9"/>
      <c r="H22" s="35"/>
    </row>
    <row r="23" spans="1:8" x14ac:dyDescent="0.3">
      <c r="A23" s="6"/>
      <c r="B23" s="28"/>
      <c r="C23" s="9"/>
      <c r="D23" s="26"/>
      <c r="E23" s="19"/>
      <c r="F23" s="9"/>
      <c r="G23" s="9"/>
      <c r="H23" s="35"/>
    </row>
    <row r="24" spans="1:8" x14ac:dyDescent="0.3">
      <c r="A24" s="6"/>
      <c r="B24" s="28"/>
      <c r="C24" s="9"/>
      <c r="D24" s="26"/>
      <c r="E24" s="19"/>
      <c r="F24" s="9"/>
      <c r="G24" s="9"/>
      <c r="H24" s="35"/>
    </row>
    <row r="25" spans="1:8" x14ac:dyDescent="0.3">
      <c r="A25" s="6"/>
      <c r="B25" s="28"/>
      <c r="C25" s="9"/>
      <c r="D25" s="26"/>
      <c r="E25" s="19"/>
      <c r="F25" s="9"/>
      <c r="G25" s="9"/>
      <c r="H25" s="35"/>
    </row>
    <row r="26" spans="1:8" x14ac:dyDescent="0.3">
      <c r="A26" s="6"/>
      <c r="B26" s="28"/>
      <c r="C26" s="9"/>
      <c r="D26" s="26"/>
      <c r="E26" s="19"/>
      <c r="F26" s="9"/>
      <c r="G26" s="9"/>
      <c r="H26" s="35"/>
    </row>
    <row r="27" spans="1:8" x14ac:dyDescent="0.3">
      <c r="A27" s="6"/>
      <c r="B27" s="28"/>
      <c r="C27" s="9"/>
      <c r="D27" s="26"/>
      <c r="E27" s="19"/>
      <c r="F27" s="9"/>
      <c r="G27" s="9"/>
      <c r="H27" s="35"/>
    </row>
    <row r="28" spans="1:8" x14ac:dyDescent="0.3">
      <c r="A28" s="6"/>
      <c r="B28" s="28"/>
      <c r="C28" s="9"/>
      <c r="D28" s="26"/>
      <c r="E28" s="19"/>
      <c r="F28" s="9"/>
      <c r="G28" s="9"/>
      <c r="H28" s="35"/>
    </row>
    <row r="29" spans="1:8" x14ac:dyDescent="0.3">
      <c r="A29" s="6"/>
      <c r="B29" s="28"/>
      <c r="C29" s="9"/>
      <c r="D29" s="26"/>
      <c r="E29" s="19"/>
      <c r="F29" s="9"/>
      <c r="G29" s="9"/>
      <c r="H29" s="35"/>
    </row>
    <row r="30" spans="1:8" x14ac:dyDescent="0.3">
      <c r="A30" s="6"/>
      <c r="B30" s="28"/>
      <c r="C30" s="9"/>
      <c r="D30" s="26"/>
      <c r="E30" s="19"/>
      <c r="F30" s="9"/>
      <c r="G30" s="9"/>
      <c r="H30" s="35"/>
    </row>
    <row r="31" spans="1:8" x14ac:dyDescent="0.3">
      <c r="A31" s="6"/>
      <c r="B31" s="28"/>
      <c r="C31" s="9"/>
      <c r="D31" s="26"/>
      <c r="E31" s="19"/>
      <c r="F31" s="9"/>
      <c r="G31" s="9"/>
      <c r="H31" s="35"/>
    </row>
    <row r="32" spans="1:8" x14ac:dyDescent="0.3">
      <c r="A32" s="6"/>
      <c r="B32" s="28"/>
      <c r="C32" s="9"/>
      <c r="D32" s="26"/>
      <c r="E32" s="19"/>
      <c r="F32" s="9"/>
      <c r="G32" s="9"/>
      <c r="H32" s="35"/>
    </row>
    <row r="33" spans="1:8" x14ac:dyDescent="0.3">
      <c r="A33" s="6"/>
      <c r="B33" s="28"/>
      <c r="C33" s="9"/>
      <c r="D33" s="26"/>
      <c r="E33" s="19"/>
      <c r="F33" s="9"/>
      <c r="G33" s="9"/>
      <c r="H33" s="35"/>
    </row>
    <row r="34" spans="1:8" x14ac:dyDescent="0.3">
      <c r="A34" s="6"/>
      <c r="B34" s="28"/>
      <c r="C34" s="9"/>
      <c r="D34" s="26"/>
      <c r="E34" s="19"/>
      <c r="F34" s="9"/>
      <c r="G34" s="9"/>
      <c r="H34" s="35"/>
    </row>
    <row r="35" spans="1:8" x14ac:dyDescent="0.3">
      <c r="A35" s="6"/>
      <c r="B35" s="28"/>
      <c r="C35" s="9"/>
      <c r="D35" s="26"/>
      <c r="E35" s="19"/>
      <c r="F35" s="9"/>
      <c r="G35" s="9"/>
      <c r="H35" s="35"/>
    </row>
    <row r="36" spans="1:8" x14ac:dyDescent="0.3">
      <c r="A36" s="6"/>
      <c r="B36" s="28"/>
      <c r="C36" s="9"/>
      <c r="D36" s="26"/>
      <c r="E36" s="19"/>
      <c r="F36" s="9"/>
      <c r="G36" s="9"/>
      <c r="H36" s="35"/>
    </row>
    <row r="37" spans="1:8" x14ac:dyDescent="0.3">
      <c r="A37" s="6"/>
      <c r="B37" s="28"/>
      <c r="C37" s="9"/>
      <c r="D37" s="26"/>
      <c r="E37" s="19"/>
      <c r="F37" s="9"/>
      <c r="G37" s="9"/>
      <c r="H37" s="35"/>
    </row>
    <row r="38" spans="1:8" x14ac:dyDescent="0.3">
      <c r="A38" s="6"/>
      <c r="B38" s="28"/>
      <c r="C38" s="9"/>
      <c r="D38" s="26"/>
      <c r="E38" s="19"/>
      <c r="F38" s="9"/>
      <c r="G38" s="9"/>
      <c r="H38" s="35"/>
    </row>
    <row r="39" spans="1:8" x14ac:dyDescent="0.3">
      <c r="A39" s="6"/>
      <c r="B39" s="28"/>
      <c r="C39" s="9"/>
      <c r="D39" s="26"/>
      <c r="E39" s="19"/>
      <c r="F39" s="9"/>
      <c r="G39" s="9"/>
      <c r="H39" s="35"/>
    </row>
    <row r="40" spans="1:8" x14ac:dyDescent="0.3">
      <c r="A40" s="6"/>
      <c r="B40" s="28"/>
      <c r="C40" s="9"/>
      <c r="D40" s="26"/>
      <c r="E40" s="19"/>
      <c r="F40" s="9"/>
      <c r="G40" s="9"/>
      <c r="H40" s="35"/>
    </row>
    <row r="41" spans="1:8" x14ac:dyDescent="0.3">
      <c r="A41" s="6"/>
      <c r="B41" s="28"/>
      <c r="C41" s="9"/>
      <c r="D41" s="26"/>
      <c r="E41" s="19"/>
      <c r="F41" s="9"/>
      <c r="G41" s="9"/>
      <c r="H41" s="35"/>
    </row>
    <row r="42" spans="1:8" x14ac:dyDescent="0.3">
      <c r="A42" s="6"/>
      <c r="B42" s="28"/>
      <c r="C42" s="9"/>
      <c r="D42" s="26"/>
      <c r="E42" s="19"/>
      <c r="F42" s="9"/>
      <c r="G42" s="9"/>
      <c r="H42" s="35"/>
    </row>
    <row r="43" spans="1:8" x14ac:dyDescent="0.3">
      <c r="A43" s="6"/>
      <c r="B43" s="28"/>
      <c r="C43" s="9"/>
      <c r="D43" s="26"/>
      <c r="E43" s="19"/>
      <c r="F43" s="9"/>
      <c r="G43" s="9"/>
      <c r="H43" s="35"/>
    </row>
    <row r="44" spans="1:8" x14ac:dyDescent="0.3">
      <c r="A44" s="6"/>
      <c r="B44" s="28"/>
      <c r="C44" s="9"/>
      <c r="D44" s="26"/>
      <c r="E44" s="19"/>
      <c r="F44" s="9"/>
      <c r="G44" s="9"/>
      <c r="H44" s="35"/>
    </row>
    <row r="45" spans="1:8" x14ac:dyDescent="0.3">
      <c r="A45" s="6"/>
      <c r="B45" s="28"/>
      <c r="C45" s="9"/>
      <c r="D45" s="26"/>
      <c r="E45" s="19"/>
      <c r="F45" s="9"/>
      <c r="G45" s="9"/>
      <c r="H45" s="35"/>
    </row>
    <row r="46" spans="1:8" x14ac:dyDescent="0.3">
      <c r="A46" s="6"/>
      <c r="B46" s="28"/>
      <c r="C46" s="9"/>
      <c r="D46" s="26"/>
      <c r="E46" s="19"/>
      <c r="F46" s="9"/>
      <c r="G46" s="9"/>
      <c r="H46" s="35"/>
    </row>
    <row r="47" spans="1:8" x14ac:dyDescent="0.3">
      <c r="A47" s="6"/>
      <c r="B47" s="28"/>
      <c r="C47" s="9"/>
      <c r="D47" s="26"/>
      <c r="E47" s="19"/>
      <c r="F47" s="9"/>
      <c r="G47" s="9"/>
      <c r="H47" s="35"/>
    </row>
    <row r="48" spans="1:8" x14ac:dyDescent="0.3">
      <c r="A48" s="6"/>
      <c r="B48" s="28"/>
      <c r="C48" s="9"/>
      <c r="D48" s="26"/>
      <c r="E48" s="19"/>
      <c r="F48" s="9"/>
      <c r="G48" s="9"/>
      <c r="H48" s="35"/>
    </row>
    <row r="49" spans="1:8" x14ac:dyDescent="0.3">
      <c r="A49" s="6"/>
      <c r="B49" s="28"/>
      <c r="C49" s="9"/>
      <c r="D49" s="26"/>
      <c r="E49" s="19"/>
      <c r="F49" s="9"/>
      <c r="G49" s="9"/>
      <c r="H49" s="35"/>
    </row>
    <row r="50" spans="1:8" x14ac:dyDescent="0.3">
      <c r="B50" s="36"/>
      <c r="C50" s="36"/>
      <c r="G50" s="36"/>
      <c r="H50" s="36"/>
    </row>
    <row r="51" spans="1:8" x14ac:dyDescent="0.3">
      <c r="B51" s="36"/>
      <c r="C51" s="36"/>
      <c r="G51" s="36"/>
      <c r="H51" s="36"/>
    </row>
    <row r="52" spans="1:8" x14ac:dyDescent="0.3">
      <c r="B52" s="36"/>
      <c r="C52" s="36"/>
      <c r="G52" s="36"/>
      <c r="H52" s="36"/>
    </row>
    <row r="53" spans="1:8" x14ac:dyDescent="0.3">
      <c r="B53" s="36"/>
      <c r="C53" s="36"/>
      <c r="G53" s="36"/>
      <c r="H53" s="36"/>
    </row>
    <row r="54" spans="1:8" x14ac:dyDescent="0.3">
      <c r="B54" s="36"/>
      <c r="C54" s="36"/>
      <c r="G54" s="36"/>
      <c r="H54" s="36"/>
    </row>
    <row r="55" spans="1:8" x14ac:dyDescent="0.3">
      <c r="B55" s="36"/>
      <c r="C55" s="36"/>
      <c r="G55" s="36"/>
      <c r="H55" s="36"/>
    </row>
    <row r="56" spans="1:8" x14ac:dyDescent="0.3">
      <c r="B56" s="36"/>
      <c r="C56" s="36"/>
      <c r="G56" s="36"/>
      <c r="H56" s="36"/>
    </row>
    <row r="57" spans="1:8" x14ac:dyDescent="0.3">
      <c r="B57" s="36"/>
      <c r="C57" s="36"/>
      <c r="G57" s="36"/>
      <c r="H57" s="36"/>
    </row>
    <row r="58" spans="1:8" x14ac:dyDescent="0.3">
      <c r="B58" s="36"/>
      <c r="C58" s="36"/>
      <c r="G58" s="36"/>
      <c r="H58" s="36"/>
    </row>
    <row r="59" spans="1:8" x14ac:dyDescent="0.3">
      <c r="B59" s="36"/>
      <c r="C59" s="36"/>
      <c r="G59" s="36"/>
      <c r="H59" s="36"/>
    </row>
    <row r="60" spans="1:8" x14ac:dyDescent="0.3">
      <c r="B60" s="36"/>
      <c r="C60" s="36"/>
      <c r="G60" s="36"/>
      <c r="H60" s="36"/>
    </row>
    <row r="61" spans="1:8" x14ac:dyDescent="0.3">
      <c r="B61" s="36"/>
      <c r="C61" s="36"/>
      <c r="G61" s="36"/>
      <c r="H61" s="36"/>
    </row>
    <row r="62" spans="1:8" x14ac:dyDescent="0.3">
      <c r="B62" s="36"/>
      <c r="C62" s="36"/>
      <c r="G62" s="36"/>
      <c r="H62" s="36"/>
    </row>
    <row r="63" spans="1:8" x14ac:dyDescent="0.3">
      <c r="B63" s="36"/>
      <c r="C63" s="36"/>
      <c r="G63" s="36"/>
      <c r="H63" s="36"/>
    </row>
    <row r="64" spans="1:8" x14ac:dyDescent="0.3">
      <c r="B64" s="36"/>
      <c r="C64" s="36"/>
      <c r="G64" s="36"/>
      <c r="H64" s="36"/>
    </row>
    <row r="65" spans="2:8" x14ac:dyDescent="0.3">
      <c r="B65" s="36"/>
      <c r="C65" s="36"/>
      <c r="G65" s="36"/>
      <c r="H65" s="36"/>
    </row>
    <row r="66" spans="2:8" x14ac:dyDescent="0.3">
      <c r="B66" s="36"/>
      <c r="C66" s="36"/>
      <c r="G66" s="36"/>
      <c r="H66" s="36"/>
    </row>
    <row r="67" spans="2:8" x14ac:dyDescent="0.3">
      <c r="B67" s="36"/>
      <c r="C67" s="36"/>
      <c r="G67" s="36"/>
      <c r="H67" s="36"/>
    </row>
    <row r="68" spans="2:8" x14ac:dyDescent="0.3">
      <c r="B68" s="36"/>
      <c r="C68" s="36"/>
      <c r="G68" s="36"/>
      <c r="H68" s="36"/>
    </row>
    <row r="69" spans="2:8" x14ac:dyDescent="0.3">
      <c r="B69" s="36"/>
      <c r="C69" s="36"/>
      <c r="G69" s="36"/>
      <c r="H69" s="36"/>
    </row>
    <row r="70" spans="2:8" x14ac:dyDescent="0.3">
      <c r="B70" s="36"/>
      <c r="C70" s="36"/>
      <c r="G70" s="36"/>
      <c r="H70" s="36"/>
    </row>
    <row r="71" spans="2:8" x14ac:dyDescent="0.3">
      <c r="B71" s="36"/>
      <c r="C71" s="36"/>
      <c r="G71" s="36"/>
      <c r="H71" s="36"/>
    </row>
    <row r="72" spans="2:8" x14ac:dyDescent="0.3">
      <c r="B72" s="36"/>
      <c r="C72" s="36"/>
      <c r="G72" s="36"/>
      <c r="H72" s="36"/>
    </row>
    <row r="73" spans="2:8" x14ac:dyDescent="0.3">
      <c r="B73" s="36"/>
      <c r="C73" s="36"/>
      <c r="G73" s="36"/>
      <c r="H73" s="36"/>
    </row>
    <row r="74" spans="2:8" x14ac:dyDescent="0.3">
      <c r="B74" s="36"/>
      <c r="C74" s="36"/>
      <c r="G74" s="36"/>
      <c r="H74" s="36"/>
    </row>
    <row r="75" spans="2:8" x14ac:dyDescent="0.3">
      <c r="B75" s="36"/>
      <c r="C75" s="36"/>
      <c r="G75" s="36"/>
      <c r="H75" s="36"/>
    </row>
    <row r="76" spans="2:8" x14ac:dyDescent="0.3">
      <c r="B76" s="36"/>
      <c r="C76" s="36"/>
      <c r="G76" s="36"/>
      <c r="H76" s="36"/>
    </row>
    <row r="77" spans="2:8" x14ac:dyDescent="0.3">
      <c r="B77" s="36"/>
      <c r="C77" s="36"/>
      <c r="G77" s="36"/>
      <c r="H77" s="36"/>
    </row>
    <row r="78" spans="2:8" x14ac:dyDescent="0.3">
      <c r="B78" s="36"/>
      <c r="C78" s="36"/>
      <c r="G78" s="36"/>
      <c r="H78" s="36"/>
    </row>
    <row r="79" spans="2:8" x14ac:dyDescent="0.3">
      <c r="B79" s="36"/>
      <c r="C79" s="36"/>
      <c r="G79" s="36"/>
      <c r="H79" s="36"/>
    </row>
    <row r="80" spans="2:8" x14ac:dyDescent="0.3">
      <c r="B80" s="36"/>
      <c r="C80" s="36"/>
      <c r="G80" s="36"/>
      <c r="H80" s="36"/>
    </row>
    <row r="81" spans="2:8" x14ac:dyDescent="0.3">
      <c r="B81" s="36"/>
      <c r="C81" s="36"/>
      <c r="G81" s="36"/>
      <c r="H81" s="36"/>
    </row>
    <row r="82" spans="2:8" x14ac:dyDescent="0.3">
      <c r="B82" s="36"/>
      <c r="C82" s="36"/>
      <c r="G82" s="36"/>
      <c r="H82" s="36"/>
    </row>
    <row r="83" spans="2:8" x14ac:dyDescent="0.3">
      <c r="B83" s="36"/>
      <c r="C83" s="36"/>
      <c r="G83" s="36"/>
      <c r="H83" s="36"/>
    </row>
    <row r="84" spans="2:8" x14ac:dyDescent="0.3">
      <c r="B84" s="36"/>
      <c r="C84" s="36"/>
      <c r="G84" s="36"/>
      <c r="H84" s="36"/>
    </row>
    <row r="85" spans="2:8" x14ac:dyDescent="0.3">
      <c r="B85" s="36"/>
      <c r="C85" s="36"/>
      <c r="G85" s="36"/>
      <c r="H85" s="36"/>
    </row>
    <row r="86" spans="2:8" x14ac:dyDescent="0.3">
      <c r="B86" s="36"/>
      <c r="C86" s="36"/>
      <c r="G86" s="36"/>
      <c r="H86" s="36"/>
    </row>
    <row r="87" spans="2:8" x14ac:dyDescent="0.3">
      <c r="B87" s="36"/>
      <c r="C87" s="36"/>
      <c r="G87" s="36"/>
      <c r="H87" s="36"/>
    </row>
    <row r="88" spans="2:8" x14ac:dyDescent="0.3">
      <c r="B88" s="36"/>
      <c r="C88" s="36"/>
      <c r="G88" s="36"/>
      <c r="H88" s="36"/>
    </row>
    <row r="89" spans="2:8" x14ac:dyDescent="0.3">
      <c r="B89" s="36"/>
      <c r="C89" s="36"/>
      <c r="G89" s="36"/>
      <c r="H89" s="36"/>
    </row>
    <row r="90" spans="2:8" x14ac:dyDescent="0.3">
      <c r="B90" s="36"/>
      <c r="C90" s="36"/>
      <c r="G90" s="36"/>
      <c r="H90" s="36"/>
    </row>
    <row r="91" spans="2:8" x14ac:dyDescent="0.3">
      <c r="B91" s="36"/>
      <c r="C91" s="36"/>
      <c r="G91" s="36"/>
      <c r="H91" s="36"/>
    </row>
    <row r="92" spans="2:8" x14ac:dyDescent="0.3">
      <c r="B92" s="36"/>
      <c r="C92" s="36"/>
      <c r="G92" s="36"/>
      <c r="H92" s="36"/>
    </row>
    <row r="93" spans="2:8" x14ac:dyDescent="0.3">
      <c r="B93" s="36"/>
      <c r="C93" s="36"/>
      <c r="G93" s="36"/>
      <c r="H93" s="36"/>
    </row>
    <row r="94" spans="2:8" x14ac:dyDescent="0.3">
      <c r="B94" s="36"/>
      <c r="C94" s="36"/>
      <c r="G94" s="36"/>
      <c r="H94" s="36"/>
    </row>
    <row r="95" spans="2:8" x14ac:dyDescent="0.3">
      <c r="B95" s="36"/>
      <c r="C95" s="36"/>
      <c r="G95" s="36"/>
      <c r="H95" s="36"/>
    </row>
    <row r="96" spans="2:8" x14ac:dyDescent="0.3">
      <c r="B96" s="36"/>
      <c r="C96" s="36"/>
      <c r="G96" s="36"/>
      <c r="H96" s="36"/>
    </row>
    <row r="97" spans="2:8" x14ac:dyDescent="0.3">
      <c r="B97" s="36"/>
      <c r="C97" s="36"/>
      <c r="G97" s="36"/>
      <c r="H97" s="36"/>
    </row>
    <row r="98" spans="2:8" x14ac:dyDescent="0.3">
      <c r="B98" s="36"/>
      <c r="C98" s="36"/>
      <c r="G98" s="36"/>
      <c r="H98" s="36"/>
    </row>
    <row r="99" spans="2:8" x14ac:dyDescent="0.3">
      <c r="B99" s="36"/>
      <c r="C99" s="36"/>
      <c r="G99" s="36"/>
      <c r="H99" s="36"/>
    </row>
    <row r="100" spans="2:8" x14ac:dyDescent="0.3">
      <c r="B100" s="36"/>
      <c r="C100" s="36"/>
      <c r="G100" s="36"/>
      <c r="H100" s="36"/>
    </row>
  </sheetData>
  <mergeCells count="5">
    <mergeCell ref="A1:H1"/>
    <mergeCell ref="A2:B2"/>
    <mergeCell ref="C2:D2"/>
    <mergeCell ref="E2:F2"/>
    <mergeCell ref="G2:H2"/>
  </mergeCells>
  <phoneticPr fontId="2" type="noConversion"/>
  <conditionalFormatting sqref="A4:H984">
    <cfRule type="expression" dxfId="1" priority="1">
      <formula>IF($E4="진행중", TRUE, FALSE)</formula>
    </cfRule>
    <cfRule type="expression" dxfId="0" priority="2">
      <formula>IF($E4="완료", TRUE, FALSE)</formula>
    </cfRule>
  </conditionalFormatting>
  <dataValidations count="2">
    <dataValidation type="list" allowBlank="1" showInputMessage="1" showErrorMessage="1" sqref="E12:E49" xr:uid="{D43CDF8A-CEDB-4DD1-A43A-F1A9AC8D9A80}">
      <formula1>"진행중,완료, 보류, 지연"</formula1>
    </dataValidation>
    <dataValidation type="list" allowBlank="1" showInputMessage="1" showErrorMessage="1" sqref="E4:E11" xr:uid="{E5A192E3-3B56-4260-9B59-51BA209C3CB7}">
      <formula1>"보류, 지연, 진행중,완료"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4"/>
  <sheetViews>
    <sheetView showGridLines="0" workbookViewId="0">
      <selection activeCell="B2" sqref="B2:C2"/>
    </sheetView>
  </sheetViews>
  <sheetFormatPr defaultColWidth="9" defaultRowHeight="16.5" x14ac:dyDescent="0.3"/>
  <cols>
    <col min="1" max="1" width="1.625" style="4" customWidth="1"/>
    <col min="2" max="2" width="3.75" style="12" bestFit="1" customWidth="1"/>
    <col min="3" max="3" width="46.25" style="4" customWidth="1"/>
    <col min="4" max="4" width="13.625" style="12" customWidth="1"/>
    <col min="5" max="6" width="13.625" style="4" customWidth="1"/>
    <col min="7" max="7" width="49.875" style="4" customWidth="1"/>
    <col min="8" max="8" width="30.875" style="4" customWidth="1"/>
    <col min="9" max="10" width="13.625" style="4" customWidth="1"/>
    <col min="11" max="11" width="21" style="4" customWidth="1"/>
    <col min="12" max="16384" width="9" style="4"/>
  </cols>
  <sheetData>
    <row r="1" spans="1:11" ht="15" customHeight="1" x14ac:dyDescent="0.3">
      <c r="B1" s="82"/>
      <c r="C1" s="82"/>
      <c r="D1" s="82"/>
      <c r="E1" s="82"/>
      <c r="F1" s="82"/>
      <c r="G1" s="82"/>
      <c r="H1" s="82"/>
      <c r="I1" s="82"/>
      <c r="J1" s="82"/>
      <c r="K1" s="82"/>
    </row>
    <row r="2" spans="1:11" ht="15" customHeight="1" x14ac:dyDescent="0.3">
      <c r="A2" s="5"/>
      <c r="B2" s="83" t="str">
        <f>"Prj.명 : "&amp;'Prj 주간실적'!D3</f>
        <v>Prj.명 :  프로젝트명 기입</v>
      </c>
      <c r="C2" s="83"/>
      <c r="D2" s="84" t="s">
        <v>11</v>
      </c>
      <c r="E2" s="84"/>
      <c r="F2" s="84"/>
      <c r="G2" s="84"/>
      <c r="H2" s="84"/>
      <c r="I2" s="84"/>
      <c r="J2" s="85" t="str">
        <f>"수행기간 : " &amp;'Prj 주간실적'!D4</f>
        <v>수행기간 : 2020.02.17 ~ 2020.02.21</v>
      </c>
      <c r="K2" s="85"/>
    </row>
    <row r="3" spans="1:11" ht="15" customHeight="1" x14ac:dyDescent="0.3">
      <c r="B3" s="86"/>
      <c r="C3" s="86"/>
      <c r="D3" s="86"/>
      <c r="E3" s="86"/>
      <c r="F3" s="86"/>
      <c r="G3" s="86"/>
      <c r="H3" s="86"/>
      <c r="I3" s="86"/>
      <c r="J3" s="86"/>
      <c r="K3" s="86"/>
    </row>
    <row r="4" spans="1:11" ht="24" customHeight="1" x14ac:dyDescent="0.3">
      <c r="B4" s="18" t="s">
        <v>12</v>
      </c>
      <c r="C4" s="18" t="s">
        <v>13</v>
      </c>
      <c r="D4" s="18" t="s">
        <v>14</v>
      </c>
      <c r="E4" s="18" t="s">
        <v>15</v>
      </c>
      <c r="F4" s="22" t="s">
        <v>16</v>
      </c>
      <c r="G4" s="18" t="s">
        <v>17</v>
      </c>
      <c r="H4" s="18" t="s">
        <v>18</v>
      </c>
      <c r="I4" s="18" t="s">
        <v>19</v>
      </c>
      <c r="J4" s="18" t="s">
        <v>20</v>
      </c>
      <c r="K4" s="18" t="s">
        <v>21</v>
      </c>
    </row>
    <row r="5" spans="1:11" x14ac:dyDescent="0.2">
      <c r="B5" s="6">
        <f>ROW()-4</f>
        <v>1</v>
      </c>
      <c r="C5" s="7"/>
      <c r="D5" s="8"/>
      <c r="E5" s="9"/>
      <c r="F5" s="8"/>
      <c r="G5" s="10"/>
      <c r="H5" s="10"/>
      <c r="I5" s="6"/>
      <c r="J5" s="9"/>
      <c r="K5" s="11"/>
    </row>
    <row r="6" spans="1:11" x14ac:dyDescent="0.2">
      <c r="B6" s="6">
        <f t="shared" ref="B6:B24" si="0">ROW()-4</f>
        <v>2</v>
      </c>
      <c r="C6" s="10"/>
      <c r="D6" s="8"/>
      <c r="E6" s="9"/>
      <c r="F6" s="8"/>
      <c r="G6" s="10"/>
      <c r="H6" s="10"/>
      <c r="I6" s="6"/>
      <c r="J6" s="9"/>
      <c r="K6" s="11"/>
    </row>
    <row r="7" spans="1:11" x14ac:dyDescent="0.2">
      <c r="B7" s="6">
        <f t="shared" si="0"/>
        <v>3</v>
      </c>
      <c r="C7" s="10"/>
      <c r="D7" s="8"/>
      <c r="E7" s="9"/>
      <c r="F7" s="8"/>
      <c r="G7" s="10"/>
      <c r="H7" s="10"/>
      <c r="I7" s="6"/>
      <c r="J7" s="9"/>
      <c r="K7" s="11"/>
    </row>
    <row r="8" spans="1:11" x14ac:dyDescent="0.2">
      <c r="B8" s="6">
        <f t="shared" si="0"/>
        <v>4</v>
      </c>
      <c r="C8" s="10"/>
      <c r="D8" s="8"/>
      <c r="E8" s="9"/>
      <c r="F8" s="8"/>
      <c r="G8" s="10"/>
      <c r="H8" s="10"/>
      <c r="I8" s="6"/>
      <c r="J8" s="9"/>
      <c r="K8" s="11"/>
    </row>
    <row r="9" spans="1:11" x14ac:dyDescent="0.2">
      <c r="B9" s="6">
        <f t="shared" si="0"/>
        <v>5</v>
      </c>
      <c r="C9" s="10"/>
      <c r="D9" s="8"/>
      <c r="E9" s="9"/>
      <c r="F9" s="8"/>
      <c r="G9" s="10"/>
      <c r="H9" s="10"/>
      <c r="I9" s="6"/>
      <c r="J9" s="9"/>
      <c r="K9" s="11"/>
    </row>
    <row r="10" spans="1:11" x14ac:dyDescent="0.2">
      <c r="B10" s="6">
        <f t="shared" si="0"/>
        <v>6</v>
      </c>
      <c r="C10" s="10"/>
      <c r="D10" s="8"/>
      <c r="E10" s="9"/>
      <c r="F10" s="8"/>
      <c r="G10" s="10"/>
      <c r="H10" s="10"/>
      <c r="I10" s="6"/>
      <c r="J10" s="9"/>
      <c r="K10" s="11"/>
    </row>
    <row r="11" spans="1:11" x14ac:dyDescent="0.2">
      <c r="B11" s="6">
        <f t="shared" si="0"/>
        <v>7</v>
      </c>
      <c r="C11" s="10"/>
      <c r="D11" s="8"/>
      <c r="E11" s="9"/>
      <c r="F11" s="8"/>
      <c r="G11" s="10"/>
      <c r="H11" s="10"/>
      <c r="I11" s="6"/>
      <c r="J11" s="9"/>
      <c r="K11" s="11"/>
    </row>
    <row r="12" spans="1:11" x14ac:dyDescent="0.2">
      <c r="B12" s="6">
        <f t="shared" si="0"/>
        <v>8</v>
      </c>
      <c r="C12" s="10"/>
      <c r="D12" s="8"/>
      <c r="E12" s="9"/>
      <c r="F12" s="8"/>
      <c r="G12" s="10"/>
      <c r="H12" s="10"/>
      <c r="I12" s="6"/>
      <c r="J12" s="9"/>
      <c r="K12" s="11"/>
    </row>
    <row r="13" spans="1:11" x14ac:dyDescent="0.2">
      <c r="B13" s="6">
        <f t="shared" si="0"/>
        <v>9</v>
      </c>
      <c r="C13" s="10"/>
      <c r="D13" s="8"/>
      <c r="E13" s="9"/>
      <c r="F13" s="8"/>
      <c r="G13" s="10"/>
      <c r="H13" s="10"/>
      <c r="I13" s="6"/>
      <c r="J13" s="9"/>
      <c r="K13" s="11"/>
    </row>
    <row r="14" spans="1:11" x14ac:dyDescent="0.2">
      <c r="B14" s="6">
        <f t="shared" si="0"/>
        <v>10</v>
      </c>
      <c r="C14" s="10"/>
      <c r="D14" s="8"/>
      <c r="E14" s="9"/>
      <c r="F14" s="8"/>
      <c r="G14" s="10"/>
      <c r="H14" s="10"/>
      <c r="I14" s="6"/>
      <c r="J14" s="9"/>
      <c r="K14" s="11"/>
    </row>
    <row r="15" spans="1:11" x14ac:dyDescent="0.2">
      <c r="B15" s="6">
        <f t="shared" si="0"/>
        <v>11</v>
      </c>
      <c r="C15" s="10"/>
      <c r="D15" s="8"/>
      <c r="E15" s="9"/>
      <c r="F15" s="8"/>
      <c r="G15" s="10"/>
      <c r="H15" s="10"/>
      <c r="I15" s="6"/>
      <c r="J15" s="9"/>
      <c r="K15" s="11"/>
    </row>
    <row r="16" spans="1:11" x14ac:dyDescent="0.2">
      <c r="B16" s="6">
        <f t="shared" si="0"/>
        <v>12</v>
      </c>
      <c r="C16" s="10"/>
      <c r="D16" s="8"/>
      <c r="E16" s="9"/>
      <c r="F16" s="8"/>
      <c r="G16" s="10"/>
      <c r="H16" s="10"/>
      <c r="I16" s="6"/>
      <c r="J16" s="9"/>
      <c r="K16" s="11"/>
    </row>
    <row r="17" spans="2:11" x14ac:dyDescent="0.2">
      <c r="B17" s="6">
        <f t="shared" si="0"/>
        <v>13</v>
      </c>
      <c r="C17" s="10"/>
      <c r="D17" s="8"/>
      <c r="E17" s="9"/>
      <c r="F17" s="8"/>
      <c r="G17" s="10"/>
      <c r="H17" s="10"/>
      <c r="I17" s="6"/>
      <c r="J17" s="9"/>
      <c r="K17" s="11"/>
    </row>
    <row r="18" spans="2:11" x14ac:dyDescent="0.2">
      <c r="B18" s="6">
        <f t="shared" si="0"/>
        <v>14</v>
      </c>
      <c r="C18" s="10"/>
      <c r="D18" s="8"/>
      <c r="E18" s="9"/>
      <c r="F18" s="8"/>
      <c r="G18" s="10"/>
      <c r="H18" s="10"/>
      <c r="I18" s="6"/>
      <c r="J18" s="9"/>
      <c r="K18" s="11"/>
    </row>
    <row r="19" spans="2:11" x14ac:dyDescent="0.2">
      <c r="B19" s="6">
        <f t="shared" si="0"/>
        <v>15</v>
      </c>
      <c r="C19" s="10"/>
      <c r="D19" s="8"/>
      <c r="E19" s="9"/>
      <c r="F19" s="8"/>
      <c r="G19" s="10"/>
      <c r="H19" s="10"/>
      <c r="I19" s="6"/>
      <c r="J19" s="9"/>
      <c r="K19" s="11"/>
    </row>
    <row r="20" spans="2:11" x14ac:dyDescent="0.2">
      <c r="B20" s="6">
        <f t="shared" si="0"/>
        <v>16</v>
      </c>
      <c r="C20" s="10"/>
      <c r="D20" s="8"/>
      <c r="E20" s="9"/>
      <c r="F20" s="8"/>
      <c r="G20" s="10"/>
      <c r="H20" s="10"/>
      <c r="I20" s="6"/>
      <c r="J20" s="9"/>
      <c r="K20" s="11"/>
    </row>
    <row r="21" spans="2:11" x14ac:dyDescent="0.2">
      <c r="B21" s="6">
        <f t="shared" si="0"/>
        <v>17</v>
      </c>
      <c r="C21" s="10"/>
      <c r="D21" s="8"/>
      <c r="E21" s="9"/>
      <c r="F21" s="8"/>
      <c r="G21" s="10"/>
      <c r="H21" s="10"/>
      <c r="I21" s="6"/>
      <c r="J21" s="9"/>
      <c r="K21" s="11"/>
    </row>
    <row r="22" spans="2:11" x14ac:dyDescent="0.2">
      <c r="B22" s="6">
        <f t="shared" si="0"/>
        <v>18</v>
      </c>
      <c r="C22" s="10"/>
      <c r="D22" s="8"/>
      <c r="E22" s="9"/>
      <c r="F22" s="8"/>
      <c r="G22" s="10"/>
      <c r="H22" s="10"/>
      <c r="I22" s="6"/>
      <c r="J22" s="9"/>
      <c r="K22" s="11"/>
    </row>
    <row r="23" spans="2:11" x14ac:dyDescent="0.2">
      <c r="B23" s="6">
        <f t="shared" si="0"/>
        <v>19</v>
      </c>
      <c r="C23" s="10"/>
      <c r="D23" s="8"/>
      <c r="E23" s="9"/>
      <c r="F23" s="8"/>
      <c r="G23" s="10"/>
      <c r="H23" s="10"/>
      <c r="I23" s="6"/>
      <c r="J23" s="9"/>
      <c r="K23" s="11"/>
    </row>
    <row r="24" spans="2:11" x14ac:dyDescent="0.2">
      <c r="B24" s="6">
        <f t="shared" si="0"/>
        <v>20</v>
      </c>
      <c r="C24" s="10"/>
      <c r="D24" s="8"/>
      <c r="E24" s="9"/>
      <c r="F24" s="8"/>
      <c r="G24" s="10"/>
      <c r="H24" s="10"/>
      <c r="I24" s="6"/>
      <c r="J24" s="9"/>
      <c r="K24" s="11"/>
    </row>
  </sheetData>
  <mergeCells count="5">
    <mergeCell ref="B1:K1"/>
    <mergeCell ref="B2:C2"/>
    <mergeCell ref="D2:I2"/>
    <mergeCell ref="J2:K2"/>
    <mergeCell ref="B3:K3"/>
  </mergeCells>
  <phoneticPr fontId="2" type="noConversion"/>
  <dataValidations count="1">
    <dataValidation type="list" allowBlank="1" showInputMessage="1" showErrorMessage="1" sqref="I5:I24" xr:uid="{00000000-0002-0000-0300-000000000000}">
      <formula1>"진행중,완료"</formula1>
    </dataValidation>
  </dataValidation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4"/>
  <sheetViews>
    <sheetView showGridLines="0" workbookViewId="0">
      <selection activeCell="E13" sqref="E13"/>
    </sheetView>
  </sheetViews>
  <sheetFormatPr defaultColWidth="9" defaultRowHeight="13.5" x14ac:dyDescent="0.25"/>
  <cols>
    <col min="1" max="1" width="1.625" style="13" customWidth="1"/>
    <col min="2" max="2" width="4" style="13" bestFit="1" customWidth="1"/>
    <col min="3" max="3" width="42.25" style="13" customWidth="1"/>
    <col min="4" max="4" width="13.625" style="13" customWidth="1"/>
    <col min="5" max="5" width="36.25" style="13" customWidth="1"/>
    <col min="6" max="6" width="40.375" style="13" customWidth="1"/>
    <col min="7" max="8" width="13.625" style="13" customWidth="1"/>
    <col min="9" max="9" width="30.125" style="13" customWidth="1"/>
    <col min="10" max="16384" width="9" style="13"/>
  </cols>
  <sheetData>
    <row r="1" spans="1:9" ht="15" customHeight="1" x14ac:dyDescent="0.25">
      <c r="B1" s="87"/>
      <c r="C1" s="87"/>
      <c r="D1" s="87"/>
      <c r="E1" s="87"/>
      <c r="F1" s="87"/>
      <c r="G1" s="87"/>
      <c r="H1" s="87"/>
      <c r="I1" s="87"/>
    </row>
    <row r="2" spans="1:9" ht="15" customHeight="1" x14ac:dyDescent="0.3">
      <c r="A2" s="14"/>
      <c r="B2" s="88" t="str">
        <f>"Prj.명 : "&amp;'Prj 주간실적'!D3</f>
        <v>Prj.명 :  프로젝트명 기입</v>
      </c>
      <c r="C2" s="88"/>
      <c r="D2" s="89" t="s">
        <v>22</v>
      </c>
      <c r="E2" s="89"/>
      <c r="F2" s="89"/>
      <c r="G2" s="89"/>
      <c r="H2" s="89"/>
      <c r="I2" s="15" t="str">
        <f>"수행기간 : " &amp;'Prj 주간실적'!D4</f>
        <v>수행기간 : 2020.02.17 ~ 2020.02.21</v>
      </c>
    </row>
    <row r="3" spans="1:9" ht="15" customHeight="1" x14ac:dyDescent="0.25">
      <c r="B3" s="90"/>
      <c r="C3" s="90"/>
      <c r="D3" s="90"/>
      <c r="E3" s="90"/>
      <c r="F3" s="90"/>
      <c r="G3" s="90"/>
      <c r="H3" s="90"/>
      <c r="I3" s="90"/>
    </row>
    <row r="4" spans="1:9" ht="24" customHeight="1" x14ac:dyDescent="0.25">
      <c r="B4" s="20" t="s">
        <v>23</v>
      </c>
      <c r="C4" s="20" t="s">
        <v>24</v>
      </c>
      <c r="D4" s="20" t="s">
        <v>25</v>
      </c>
      <c r="E4" s="20" t="s">
        <v>26</v>
      </c>
      <c r="F4" s="20" t="s">
        <v>27</v>
      </c>
      <c r="G4" s="21" t="s">
        <v>28</v>
      </c>
      <c r="H4" s="20" t="s">
        <v>29</v>
      </c>
      <c r="I4" s="20" t="s">
        <v>30</v>
      </c>
    </row>
    <row r="5" spans="1:9" ht="24" x14ac:dyDescent="0.25">
      <c r="B5" s="6">
        <f>ROW()-4</f>
        <v>1</v>
      </c>
      <c r="C5" s="32" t="s">
        <v>42</v>
      </c>
      <c r="D5" s="16">
        <v>43804</v>
      </c>
      <c r="E5" s="32" t="s">
        <v>43</v>
      </c>
      <c r="F5" s="32" t="s">
        <v>69</v>
      </c>
      <c r="G5" s="17" t="s">
        <v>62</v>
      </c>
      <c r="H5" s="16">
        <v>43875</v>
      </c>
      <c r="I5" s="10"/>
    </row>
    <row r="6" spans="1:9" ht="24" x14ac:dyDescent="0.25">
      <c r="B6" s="6">
        <f t="shared" ref="B6:B24" si="0">ROW()-4</f>
        <v>2</v>
      </c>
      <c r="C6" s="32" t="s">
        <v>46</v>
      </c>
      <c r="D6" s="16">
        <v>43815</v>
      </c>
      <c r="E6" s="32"/>
      <c r="F6" s="32" t="s">
        <v>47</v>
      </c>
      <c r="G6" s="17" t="s">
        <v>62</v>
      </c>
      <c r="H6" s="16">
        <v>43880</v>
      </c>
      <c r="I6" s="10"/>
    </row>
    <row r="7" spans="1:9" ht="24" x14ac:dyDescent="0.25">
      <c r="B7" s="6">
        <f t="shared" si="0"/>
        <v>3</v>
      </c>
      <c r="C7" s="32" t="s">
        <v>50</v>
      </c>
      <c r="D7" s="16">
        <v>44177</v>
      </c>
      <c r="E7" s="10"/>
      <c r="F7" s="10"/>
      <c r="G7" s="17" t="s">
        <v>62</v>
      </c>
      <c r="H7" s="16">
        <v>43840</v>
      </c>
      <c r="I7" s="10"/>
    </row>
    <row r="8" spans="1:9" x14ac:dyDescent="0.25">
      <c r="B8" s="6">
        <f t="shared" si="0"/>
        <v>4</v>
      </c>
      <c r="C8" s="10" t="s">
        <v>63</v>
      </c>
      <c r="D8" s="16">
        <v>43850</v>
      </c>
      <c r="E8" s="10"/>
      <c r="F8" s="10"/>
      <c r="G8" s="17" t="s">
        <v>62</v>
      </c>
      <c r="H8" s="16">
        <v>43858</v>
      </c>
      <c r="I8" s="10"/>
    </row>
    <row r="9" spans="1:9" x14ac:dyDescent="0.25">
      <c r="B9" s="6">
        <f t="shared" si="0"/>
        <v>5</v>
      </c>
      <c r="C9" s="10"/>
      <c r="D9" s="16"/>
      <c r="E9" s="10"/>
      <c r="F9" s="10"/>
      <c r="G9" s="17"/>
      <c r="H9" s="16"/>
      <c r="I9" s="10"/>
    </row>
    <row r="10" spans="1:9" x14ac:dyDescent="0.25">
      <c r="B10" s="6">
        <f t="shared" si="0"/>
        <v>6</v>
      </c>
      <c r="C10" s="10"/>
      <c r="D10" s="16"/>
      <c r="E10" s="10"/>
      <c r="F10" s="10"/>
      <c r="G10" s="17"/>
      <c r="H10" s="16"/>
      <c r="I10" s="10"/>
    </row>
    <row r="11" spans="1:9" x14ac:dyDescent="0.25">
      <c r="B11" s="6">
        <f t="shared" si="0"/>
        <v>7</v>
      </c>
      <c r="C11" s="10"/>
      <c r="D11" s="16"/>
      <c r="E11" s="10"/>
      <c r="F11" s="10"/>
      <c r="G11" s="17"/>
      <c r="H11" s="16"/>
      <c r="I11" s="10"/>
    </row>
    <row r="12" spans="1:9" x14ac:dyDescent="0.25">
      <c r="B12" s="6">
        <f t="shared" si="0"/>
        <v>8</v>
      </c>
      <c r="C12" s="10"/>
      <c r="D12" s="16"/>
      <c r="E12" s="10"/>
      <c r="F12" s="10"/>
      <c r="G12" s="17"/>
      <c r="H12" s="16"/>
      <c r="I12" s="10"/>
    </row>
    <row r="13" spans="1:9" x14ac:dyDescent="0.25">
      <c r="B13" s="6">
        <f t="shared" si="0"/>
        <v>9</v>
      </c>
      <c r="C13" s="10"/>
      <c r="D13" s="16"/>
      <c r="E13" s="10"/>
      <c r="F13" s="10"/>
      <c r="G13" s="17"/>
      <c r="H13" s="16"/>
      <c r="I13" s="10"/>
    </row>
    <row r="14" spans="1:9" x14ac:dyDescent="0.25">
      <c r="B14" s="6">
        <f t="shared" si="0"/>
        <v>10</v>
      </c>
      <c r="C14" s="10"/>
      <c r="D14" s="16"/>
      <c r="E14" s="10"/>
      <c r="F14" s="10"/>
      <c r="G14" s="17"/>
      <c r="H14" s="16"/>
      <c r="I14" s="10"/>
    </row>
    <row r="15" spans="1:9" x14ac:dyDescent="0.25">
      <c r="B15" s="6">
        <f t="shared" si="0"/>
        <v>11</v>
      </c>
      <c r="C15" s="10"/>
      <c r="D15" s="16"/>
      <c r="E15" s="10"/>
      <c r="F15" s="10"/>
      <c r="G15" s="17"/>
      <c r="H15" s="16"/>
      <c r="I15" s="10"/>
    </row>
    <row r="16" spans="1:9" x14ac:dyDescent="0.25">
      <c r="B16" s="6">
        <f t="shared" si="0"/>
        <v>12</v>
      </c>
      <c r="C16" s="10"/>
      <c r="D16" s="16"/>
      <c r="E16" s="10"/>
      <c r="F16" s="10"/>
      <c r="G16" s="17"/>
      <c r="H16" s="16"/>
      <c r="I16" s="10"/>
    </row>
    <row r="17" spans="2:9" x14ac:dyDescent="0.25">
      <c r="B17" s="6">
        <f t="shared" si="0"/>
        <v>13</v>
      </c>
      <c r="C17" s="10"/>
      <c r="D17" s="16"/>
      <c r="E17" s="10"/>
      <c r="F17" s="10"/>
      <c r="G17" s="17"/>
      <c r="H17" s="16"/>
      <c r="I17" s="10"/>
    </row>
    <row r="18" spans="2:9" x14ac:dyDescent="0.25">
      <c r="B18" s="6">
        <f t="shared" si="0"/>
        <v>14</v>
      </c>
      <c r="C18" s="10"/>
      <c r="D18" s="16"/>
      <c r="E18" s="10"/>
      <c r="F18" s="10"/>
      <c r="G18" s="17"/>
      <c r="H18" s="16"/>
      <c r="I18" s="10"/>
    </row>
    <row r="19" spans="2:9" x14ac:dyDescent="0.25">
      <c r="B19" s="6">
        <f t="shared" si="0"/>
        <v>15</v>
      </c>
      <c r="C19" s="10"/>
      <c r="D19" s="16"/>
      <c r="E19" s="10"/>
      <c r="F19" s="10"/>
      <c r="G19" s="17"/>
      <c r="H19" s="16"/>
      <c r="I19" s="10"/>
    </row>
    <row r="20" spans="2:9" x14ac:dyDescent="0.25">
      <c r="B20" s="6">
        <f t="shared" si="0"/>
        <v>16</v>
      </c>
      <c r="C20" s="10"/>
      <c r="D20" s="16"/>
      <c r="E20" s="10"/>
      <c r="F20" s="10"/>
      <c r="G20" s="17"/>
      <c r="H20" s="16"/>
      <c r="I20" s="10"/>
    </row>
    <row r="21" spans="2:9" x14ac:dyDescent="0.25">
      <c r="B21" s="6">
        <f t="shared" si="0"/>
        <v>17</v>
      </c>
      <c r="C21" s="10"/>
      <c r="D21" s="16"/>
      <c r="E21" s="10"/>
      <c r="F21" s="10"/>
      <c r="G21" s="17"/>
      <c r="H21" s="16"/>
      <c r="I21" s="10"/>
    </row>
    <row r="22" spans="2:9" x14ac:dyDescent="0.25">
      <c r="B22" s="6">
        <f t="shared" si="0"/>
        <v>18</v>
      </c>
      <c r="C22" s="10"/>
      <c r="D22" s="16"/>
      <c r="E22" s="10"/>
      <c r="F22" s="10"/>
      <c r="G22" s="17"/>
      <c r="H22" s="16"/>
      <c r="I22" s="10"/>
    </row>
    <row r="23" spans="2:9" x14ac:dyDescent="0.25">
      <c r="B23" s="6">
        <f t="shared" si="0"/>
        <v>19</v>
      </c>
      <c r="C23" s="10"/>
      <c r="D23" s="16"/>
      <c r="E23" s="10"/>
      <c r="F23" s="10"/>
      <c r="G23" s="17"/>
      <c r="H23" s="16"/>
      <c r="I23" s="10"/>
    </row>
    <row r="24" spans="2:9" x14ac:dyDescent="0.25">
      <c r="B24" s="6">
        <f t="shared" si="0"/>
        <v>20</v>
      </c>
      <c r="C24" s="10"/>
      <c r="D24" s="16"/>
      <c r="E24" s="10"/>
      <c r="F24" s="10"/>
      <c r="G24" s="17"/>
      <c r="H24" s="16"/>
      <c r="I24" s="10"/>
    </row>
  </sheetData>
  <mergeCells count="4">
    <mergeCell ref="B1:I1"/>
    <mergeCell ref="B2:C2"/>
    <mergeCell ref="D2:H2"/>
    <mergeCell ref="B3:I3"/>
  </mergeCells>
  <phoneticPr fontId="2" type="noConversion"/>
  <dataValidations count="1">
    <dataValidation type="list" allowBlank="1" showInputMessage="1" showErrorMessage="1" sqref="G5:G24" xr:uid="{00000000-0002-0000-0400-000000000000}">
      <formula1>"진행중,완료"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Prj 주간실적</vt:lpstr>
      <vt:lpstr>Prj Activity 관리</vt:lpstr>
      <vt:lpstr>Prj Risk관리</vt:lpstr>
      <vt:lpstr>Prj 이슈관리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박민수</dc:creator>
  <cp:lastModifiedBy>박민수</cp:lastModifiedBy>
  <dcterms:created xsi:type="dcterms:W3CDTF">2018-03-08T06:24:00Z</dcterms:created>
  <dcterms:modified xsi:type="dcterms:W3CDTF">2020-06-18T02:21:15Z</dcterms:modified>
</cp:coreProperties>
</file>