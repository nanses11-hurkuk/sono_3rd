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00.PROJECT\00.UTI베트남\100. 착수\120. 계획수립(사업수행,WBS,인력투입,테일러링)\123. 인력투입계획서\"/>
    </mc:Choice>
  </mc:AlternateContent>
  <xr:revisionPtr revIDLastSave="0" documentId="13_ncr:1_{4F69ECF3-D95C-4A4E-98D0-7AE137EC9FA6}" xr6:coauthVersionLast="36" xr6:coauthVersionMax="36" xr10:uidLastSave="{00000000-0000-0000-0000-000000000000}"/>
  <bookViews>
    <workbookView xWindow="0" yWindow="0" windowWidth="19200" windowHeight="8120" tabRatio="861" activeTab="1" xr2:uid="{00000000-000D-0000-FFFF-FFFF00000000}"/>
  </bookViews>
  <sheets>
    <sheet name="표지" sheetId="7" r:id="rId1"/>
    <sheet name="계획_실적" sheetId="1" r:id="rId2"/>
    <sheet name="Sheet1" sheetId="8" r:id="rId3"/>
  </sheets>
  <definedNames>
    <definedName name="cause">#REF!</definedName>
    <definedName name="Comments">#REF!</definedName>
    <definedName name="DataType">#REF!</definedName>
    <definedName name="Domain">#REF!</definedName>
    <definedName name="Ltst_TestLog">"'Test log'"</definedName>
    <definedName name="NullOption">#REF!</definedName>
    <definedName name="_xlnm.Print_Area" localSheetId="1">계획_실적!$A$1:$Q$19</definedName>
    <definedName name="_xlnm.Print_Area" localSheetId="0">표지!$A$1:$L$47</definedName>
    <definedName name="Severity">#REF!</definedName>
    <definedName name="State_of_Origin">#REF!</definedName>
    <definedName name="변경여부">#REF!</definedName>
    <definedName name="속성유형">#REF!</definedName>
    <definedName name="중분류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</definedNames>
  <calcPr calcId="191029"/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7" i="1"/>
  <c r="L19" i="1" l="1"/>
  <c r="M19" i="1"/>
  <c r="N19" i="1"/>
  <c r="H19" i="1" l="1"/>
  <c r="O19" i="1"/>
  <c r="I19" i="1" l="1"/>
  <c r="J19" i="1"/>
  <c r="K19" i="1"/>
  <c r="P19" i="1"/>
</calcChain>
</file>

<file path=xl/sharedStrings.xml><?xml version="1.0" encoding="utf-8"?>
<sst xmlns="http://schemas.openxmlformats.org/spreadsheetml/2006/main" count="148" uniqueCount="96">
  <si>
    <t>합계</t>
  </si>
  <si>
    <t>비고</t>
  </si>
  <si>
    <t>인프라</t>
    <phoneticPr fontId="1" type="noConversion"/>
  </si>
  <si>
    <t>그룹웨어</t>
    <phoneticPr fontId="1" type="noConversion"/>
  </si>
  <si>
    <t>인프라</t>
    <phoneticPr fontId="1" type="noConversion"/>
  </si>
  <si>
    <t>전자결재</t>
    <phoneticPr fontId="1" type="noConversion"/>
  </si>
  <si>
    <t>개정번호</t>
    <phoneticPr fontId="1" type="noConversion"/>
  </si>
  <si>
    <t>작성자</t>
    <phoneticPr fontId="1" type="noConversion"/>
  </si>
  <si>
    <t>인력투입계획서</t>
    <phoneticPr fontId="1" type="noConversion"/>
  </si>
  <si>
    <t>PM</t>
    <phoneticPr fontId="1" type="noConversion"/>
  </si>
  <si>
    <t>최초 작성</t>
    <phoneticPr fontId="1" type="noConversion"/>
  </si>
  <si>
    <t>Version : 1.0</t>
    <phoneticPr fontId="1" type="noConversion"/>
  </si>
  <si>
    <t>제/개정일자</t>
    <phoneticPr fontId="1" type="noConversion"/>
  </si>
  <si>
    <t>제/개정 페이지 및 내용</t>
    <phoneticPr fontId="1" type="noConversion"/>
  </si>
  <si>
    <t>제/개 정 이 력</t>
    <phoneticPr fontId="1" type="noConversion"/>
  </si>
  <si>
    <t xml:space="preserve"> 인력 투입 계획서 </t>
    <phoneticPr fontId="1" type="noConversion"/>
  </si>
  <si>
    <t>문서번호: 211_사업수행계획서(별첨2)</t>
    <phoneticPr fontId="1" type="noConversion"/>
  </si>
  <si>
    <t>담당자</t>
    <phoneticPr fontId="1" type="noConversion"/>
  </si>
  <si>
    <t>이름</t>
    <phoneticPr fontId="1" type="noConversion"/>
  </si>
  <si>
    <t>업무 구분</t>
    <phoneticPr fontId="1" type="noConversion"/>
  </si>
  <si>
    <t>계획</t>
    <phoneticPr fontId="1" type="noConversion"/>
  </si>
  <si>
    <t>실적</t>
    <phoneticPr fontId="1" type="noConversion"/>
  </si>
  <si>
    <t>조직도</t>
    <phoneticPr fontId="1" type="noConversion"/>
  </si>
  <si>
    <t>모바일 그룹웨어</t>
    <phoneticPr fontId="1" type="noConversion"/>
  </si>
  <si>
    <t>인력투입계획서(투입공수)</t>
    <phoneticPr fontId="1" type="noConversion"/>
  </si>
  <si>
    <t>계획공수</t>
    <phoneticPr fontId="1" type="noConversion"/>
  </si>
  <si>
    <t>3rd party</t>
    <phoneticPr fontId="1" type="noConversion"/>
  </si>
  <si>
    <t>직급</t>
    <phoneticPr fontId="1" type="noConversion"/>
  </si>
  <si>
    <t>부장</t>
    <phoneticPr fontId="1" type="noConversion"/>
  </si>
  <si>
    <t>강민석</t>
    <phoneticPr fontId="1" type="noConversion"/>
  </si>
  <si>
    <t>오픈/안정/교육</t>
    <phoneticPr fontId="1" type="noConversion"/>
  </si>
  <si>
    <t>분석</t>
    <phoneticPr fontId="1" type="noConversion"/>
  </si>
  <si>
    <t>설계/구축</t>
    <phoneticPr fontId="1" type="noConversion"/>
  </si>
  <si>
    <t>디자인/퍼블리싱</t>
    <phoneticPr fontId="1" type="noConversion"/>
  </si>
  <si>
    <t>분석/설계</t>
    <phoneticPr fontId="1" type="noConversion"/>
  </si>
  <si>
    <t>팀명</t>
    <phoneticPr fontId="1" type="noConversion"/>
  </si>
  <si>
    <t>PM팀</t>
    <phoneticPr fontId="1" type="noConversion"/>
  </si>
  <si>
    <t>인프라</t>
    <phoneticPr fontId="1" type="noConversion"/>
  </si>
  <si>
    <t>일반/연동 양식개발</t>
    <phoneticPr fontId="1" type="noConversion"/>
  </si>
  <si>
    <t>(문서 뷰어)사이냅, WebWriter(당사)</t>
    <phoneticPr fontId="1" type="noConversion"/>
  </si>
  <si>
    <t>메신저</t>
    <phoneticPr fontId="1" type="noConversion"/>
  </si>
  <si>
    <t>이음톡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</si>
  <si>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</si>
  <si>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</si>
  <si>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</si>
  <si>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</si>
  <si>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웹메일</t>
    <phoneticPr fontId="1" type="noConversion"/>
  </si>
  <si>
    <t>-</t>
    <phoneticPr fontId="1" type="noConversion"/>
  </si>
  <si>
    <t>업무개발</t>
    <phoneticPr fontId="1" type="noConversion"/>
  </si>
  <si>
    <t>코윈테크 그룹웨어 구축팀</t>
    <phoneticPr fontId="1" type="noConversion"/>
  </si>
  <si>
    <t>2024. 03. 18</t>
    <phoneticPr fontId="1" type="noConversion"/>
  </si>
  <si>
    <t>포탈/그룹웨어</t>
    <phoneticPr fontId="1" type="noConversion"/>
  </si>
  <si>
    <t>2개회사(포틀릿), 자원-exchange 연계, 다국어(베트남)</t>
    <phoneticPr fontId="1" type="noConversion"/>
  </si>
  <si>
    <t>CP Exchange 웹메일, Outlook Add-In</t>
    <phoneticPr fontId="1" type="noConversion"/>
  </si>
  <si>
    <t>M365 동기화(AD연계)</t>
    <phoneticPr fontId="1" type="noConversion"/>
  </si>
  <si>
    <t>협업/프로세스 공수에 포함</t>
    <phoneticPr fontId="1" type="noConversion"/>
  </si>
  <si>
    <t>사업명: UTI 그룹웨어 구축</t>
    <phoneticPr fontId="1" type="noConversion"/>
  </si>
  <si>
    <t>작성일자 : 2026.02.25</t>
    <phoneticPr fontId="1" type="noConversion"/>
  </si>
  <si>
    <t>2025.02.25</t>
    <phoneticPr fontId="1" type="noConversion"/>
  </si>
  <si>
    <t>황현지
임지현</t>
  </si>
  <si>
    <t>디자인
퍼블리싱</t>
  </si>
  <si>
    <t>대리
과장</t>
  </si>
  <si>
    <t>조광희</t>
  </si>
  <si>
    <t>협업</t>
  </si>
  <si>
    <t>차장</t>
  </si>
  <si>
    <t>길경윤</t>
  </si>
  <si>
    <t>사원</t>
  </si>
  <si>
    <t>방영환</t>
  </si>
  <si>
    <t>프로세스</t>
  </si>
  <si>
    <t>부장</t>
  </si>
  <si>
    <t>강유진</t>
  </si>
  <si>
    <t>이윤정</t>
  </si>
  <si>
    <t>커뮤니케이션</t>
  </si>
  <si>
    <t>과장</t>
  </si>
  <si>
    <t>이동준</t>
  </si>
  <si>
    <t>전주연</t>
  </si>
  <si>
    <t>대리</t>
  </si>
  <si>
    <t>VPN 접속자</t>
    <phoneticPr fontId="1" type="noConversion"/>
  </si>
  <si>
    <t>웹메일/이음톡(메신저)</t>
    <phoneticPr fontId="1" type="noConversion"/>
  </si>
  <si>
    <t>이메일</t>
    <phoneticPr fontId="1" type="noConversion"/>
  </si>
  <si>
    <t>퍼블리셔</t>
    <phoneticPr fontId="1" type="noConversion"/>
  </si>
  <si>
    <t>임지현</t>
    <phoneticPr fontId="1" type="noConversion"/>
  </si>
  <si>
    <t>과장</t>
    <phoneticPr fontId="1" type="noConversion"/>
  </si>
  <si>
    <t>일반양식개발</t>
    <phoneticPr fontId="1" type="noConversion"/>
  </si>
  <si>
    <t>limjh@covision.co.kr</t>
    <phoneticPr fontId="1" type="noConversion"/>
  </si>
  <si>
    <t>leeyj@covision.co.kr</t>
    <phoneticPr fontId="1" type="noConversion"/>
  </si>
  <si>
    <t>khcho@covision.co.kr</t>
    <phoneticPr fontId="1" type="noConversion"/>
  </si>
  <si>
    <t>gygil@covision.co.kr</t>
    <phoneticPr fontId="1" type="noConversion"/>
  </si>
  <si>
    <t>djlee2@covision.co.kr</t>
    <phoneticPr fontId="1" type="noConversion"/>
  </si>
  <si>
    <t>yhbang2@covision.co.kr</t>
    <phoneticPr fontId="1" type="noConversion"/>
  </si>
  <si>
    <t>yjkang4@covision.co.kr</t>
    <phoneticPr fontId="1" type="noConversion"/>
  </si>
  <si>
    <t>jyjeon@covision.co.kr</t>
    <phoneticPr fontId="1" type="noConversion"/>
  </si>
  <si>
    <t>mskang@covision.co.kr</t>
    <phoneticPr fontId="1" type="noConversion"/>
  </si>
  <si>
    <t>이혜원</t>
    <phoneticPr fontId="1" type="noConversion"/>
  </si>
  <si>
    <t>대리</t>
    <phoneticPr fontId="1" type="noConversion"/>
  </si>
  <si>
    <t>leehw@covision.co.kr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</si>
</sst>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2" formatCode="_-&quot;₩&quot;* #,##0_-;\-&quot;₩&quot;* #,##0_-;_-&quot;₩&quot;* &quot;-&quot;_-;_-@_-"/>
    <numFmt numFmtId="41" formatCode="_-* #,##0_-;\-* #,##0_-;_-* &quot;-&quot;_-;_-@_-"/>
    <numFmt numFmtId="176" formatCode="yyyy&quot;/&quot;mm"/>
    <numFmt numFmtId="177" formatCode="&quot;작성일자: &quot;yyyy/mm/dd"/>
    <numFmt numFmtId="178" formatCode="0.0"/>
    <numFmt numFmtId="179" formatCode="_-* #,##0&quot;₩&quot;\ _D_M_-;&quot;₩&quot;\-* #,##0&quot;₩&quot;\ _D_M_-;_-* &quot;-&quot;&quot;₩&quot;\ _D_M_-;_-@_-"/>
    <numFmt numFmtId="180" formatCode="* #,##0.0"/>
    <numFmt numFmtId="181" formatCode="#,##0.00000"/>
    <numFmt numFmtId="182" formatCode="_ * #,##0_ ;_ * &quot;₩&quot;\-#,##0_ ;_ * &quot;-&quot;??_ ;_ @_ "/>
    <numFmt numFmtId="183" formatCode="0.0%;[Red]&quot;△&quot;0.0%"/>
    <numFmt numFmtId="184" formatCode="0.00000000"/>
    <numFmt numFmtId="185" formatCode="_(&quot;$&quot;* #,##0.0_);_(&quot;$&quot;* \(#,##0.0\);_(&quot;$&quot;* &quot;-&quot;_);_(@_)"/>
    <numFmt numFmtId="186" formatCode="_ * #,##0_ ;_ * \-#,##0_ ;_ * &quot;-&quot;_ ;_ @_ "/>
    <numFmt numFmtId="187" formatCode="_-* #,##0_-;&quot;₩&quot;&quot;₩&quot;&quot;₩&quot;&quot;₩&quot;&quot;₩&quot;&quot;₩&quot;&quot;₩&quot;&quot;₩&quot;&quot;₩&quot;&quot;₩&quot;&quot;₩&quot;&quot;₩&quot;&quot;₩&quot;&quot;₩&quot;\-* #,##0_-;_-* &quot;-&quot;_-;_-@_-"/>
    <numFmt numFmtId="188" formatCode="_ * #,##0.00_ ;_ * \-#,##0.00_ ;_ * &quot;-&quot;??_ ;_ @_ 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_-&quot;₩&quot;* #,##0.00_-;&quot;₩&quot;&quot;₩&quot;&quot;₩&quot;&quot;₩&quot;&quot;₩&quot;&quot;₩&quot;&quot;₩&quot;&quot;₩&quot;&quot;₩&quot;&quot;₩&quot;&quot;₩&quot;&quot;₩&quot;&quot;₩&quot;&quot;₩&quot;&quot;₩&quot;&quot;₩&quot;\-&quot;₩&quot;* #,##0.00_-;_-&quot;₩&quot;* &quot;-&quot;??_-;_-@_-"/>
    <numFmt numFmtId="192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\-&quot;₩&quot;#,##0"/>
    <numFmt numFmtId="193" formatCode="###,###,"/>
    <numFmt numFmtId="194" formatCode="#,##0_ "/>
    <numFmt numFmtId="195" formatCode="#.##,"/>
    <numFmt numFmtId="196" formatCode="0.00000%"/>
    <numFmt numFmtId="197" formatCode="_ &quot;₩&quot;* #,##0.0000000_ ;_ &quot;₩&quot;* &quot;₩&quot;\-#,##0.0000000_ ;_ &quot;₩&quot;* &quot;-&quot;??_ ;_ @_ "/>
    <numFmt numFmtId="198" formatCode="#,##0;[Red]&quot;△&quot;#,##0"/>
    <numFmt numFmtId="199" formatCode="_ * #,##0.000000_ ;_ * &quot;₩&quot;\-#,##0.000000_ ;_ * &quot;-&quot;??_ ;_ @_ "/>
    <numFmt numFmtId="200" formatCode="#,##0.0"/>
    <numFmt numFmtId="201" formatCode="m&quot;/&quot;d"/>
    <numFmt numFmtId="202" formatCode="0.00_);[Red]\(0.00\)"/>
  </numFmts>
  <fonts count="4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Arial"/>
      <family val="2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b/>
      <sz val="12"/>
      <name val="Helv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20"/>
      <name val="HP Logo LG"/>
      <charset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10"/>
      <color indexed="8"/>
      <name val="MS Sans Serif"/>
      <family val="2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indexed="12"/>
      <name val="돋움"/>
      <family val="3"/>
      <charset val="129"/>
    </font>
    <font>
      <b/>
      <sz val="2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sz val="12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20">
    <xf numFmtId="0" fontId="0" fillId="0" borderId="0">
      <alignment vertical="center"/>
    </xf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9" fontId="16" fillId="5" borderId="0"/>
    <xf numFmtId="0" fontId="14" fillId="0" borderId="0" applyFill="0" applyBorder="0" applyAlignment="0"/>
    <xf numFmtId="179" fontId="14" fillId="0" borderId="0" applyFill="0" applyBorder="0" applyAlignment="0"/>
    <xf numFmtId="180" fontId="14" fillId="0" borderId="0" applyFill="0" applyBorder="0" applyAlignment="0"/>
    <xf numFmtId="181" fontId="14" fillId="0" borderId="0" applyFill="0" applyBorder="0" applyAlignment="0"/>
    <xf numFmtId="182" fontId="14" fillId="0" borderId="0" applyFill="0" applyBorder="0" applyAlignment="0"/>
    <xf numFmtId="183" fontId="14" fillId="0" borderId="0" applyFill="0" applyBorder="0" applyAlignment="0"/>
    <xf numFmtId="184" fontId="14" fillId="0" borderId="0" applyFill="0" applyBorder="0" applyAlignment="0"/>
    <xf numFmtId="179" fontId="14" fillId="0" borderId="0" applyFill="0" applyBorder="0" applyAlignment="0"/>
    <xf numFmtId="0" fontId="18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5" fontId="16" fillId="0" borderId="0"/>
    <xf numFmtId="186" fontId="16" fillId="0" borderId="0" applyFont="0" applyFill="0" applyBorder="0" applyAlignment="0" applyProtection="0"/>
    <xf numFmtId="183" fontId="14" fillId="0" borderId="0" applyFont="0" applyFill="0" applyBorder="0" applyAlignment="0" applyProtection="0"/>
    <xf numFmtId="187" fontId="14" fillId="0" borderId="0"/>
    <xf numFmtId="188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79" fontId="14" fillId="0" borderId="0" applyFont="0" applyFill="0" applyBorder="0" applyAlignment="0" applyProtection="0"/>
    <xf numFmtId="190" fontId="16" fillId="0" borderId="0" applyFont="0" applyFill="0" applyBorder="0" applyAlignment="0" applyProtection="0"/>
    <xf numFmtId="191" fontId="14" fillId="0" borderId="0"/>
    <xf numFmtId="14" fontId="19" fillId="0" borderId="0" applyFill="0" applyBorder="0" applyAlignment="0"/>
    <xf numFmtId="38" fontId="20" fillId="0" borderId="58">
      <alignment vertical="center"/>
    </xf>
    <xf numFmtId="192" fontId="14" fillId="0" borderId="0"/>
    <xf numFmtId="183" fontId="14" fillId="0" borderId="0" applyFill="0" applyBorder="0" applyAlignment="0"/>
    <xf numFmtId="179" fontId="14" fillId="0" borderId="0" applyFill="0" applyBorder="0" applyAlignment="0"/>
    <xf numFmtId="183" fontId="14" fillId="0" borderId="0" applyFill="0" applyBorder="0" applyAlignment="0"/>
    <xf numFmtId="184" fontId="14" fillId="0" borderId="0" applyFill="0" applyBorder="0" applyAlignment="0"/>
    <xf numFmtId="179" fontId="14" fillId="0" borderId="0" applyFill="0" applyBorder="0" applyAlignment="0"/>
    <xf numFmtId="38" fontId="3" fillId="6" borderId="0" applyNumberFormat="0" applyBorder="0" applyAlignment="0" applyProtection="0"/>
    <xf numFmtId="0" fontId="21" fillId="0" borderId="0">
      <alignment horizontal="left"/>
    </xf>
    <xf numFmtId="0" fontId="22" fillId="0" borderId="59" applyFill="0" applyBorder="0"/>
    <xf numFmtId="0" fontId="3" fillId="0" borderId="59" applyBorder="0">
      <alignment horizontal="center" vertical="center"/>
    </xf>
    <xf numFmtId="0" fontId="23" fillId="0" borderId="59" applyBorder="0">
      <alignment horizontal="center" vertical="center"/>
    </xf>
    <xf numFmtId="0" fontId="24" fillId="0" borderId="60" applyNumberFormat="0" applyAlignment="0" applyProtection="0">
      <alignment horizontal="left" vertical="center"/>
    </xf>
    <xf numFmtId="0" fontId="24" fillId="0" borderId="50">
      <alignment horizontal="left" vertical="center"/>
    </xf>
    <xf numFmtId="0" fontId="25" fillId="0" borderId="59" applyBorder="0">
      <alignment horizontal="center" vertical="center"/>
    </xf>
    <xf numFmtId="0" fontId="26" fillId="0" borderId="0" applyNumberFormat="0" applyFill="0" applyBorder="0" applyAlignment="0" applyProtection="0">
      <alignment vertical="top"/>
      <protection locked="0"/>
    </xf>
    <xf numFmtId="10" fontId="3" fillId="7" borderId="13" applyNumberFormat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83" fontId="14" fillId="0" borderId="0" applyFill="0" applyBorder="0" applyAlignment="0"/>
    <xf numFmtId="179" fontId="14" fillId="0" borderId="0" applyFill="0" applyBorder="0" applyAlignment="0"/>
    <xf numFmtId="183" fontId="14" fillId="0" borderId="0" applyFill="0" applyBorder="0" applyAlignment="0"/>
    <xf numFmtId="184" fontId="14" fillId="0" borderId="0" applyFill="0" applyBorder="0" applyAlignment="0"/>
    <xf numFmtId="179" fontId="14" fillId="0" borderId="0" applyFill="0" applyBorder="0" applyAlignment="0"/>
    <xf numFmtId="0" fontId="27" fillId="0" borderId="29"/>
    <xf numFmtId="195" fontId="14" fillId="0" borderId="0"/>
    <xf numFmtId="0" fontId="16" fillId="0" borderId="0"/>
    <xf numFmtId="182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0" fontId="16" fillId="0" borderId="0" applyFont="0" applyFill="0" applyBorder="0" applyAlignment="0" applyProtection="0"/>
    <xf numFmtId="197" fontId="14" fillId="0" borderId="0" applyFont="0" applyFill="0" applyBorder="0" applyAlignment="0" applyProtection="0"/>
    <xf numFmtId="183" fontId="14" fillId="0" borderId="0" applyFill="0" applyBorder="0" applyAlignment="0"/>
    <xf numFmtId="179" fontId="14" fillId="0" borderId="0" applyFill="0" applyBorder="0" applyAlignment="0"/>
    <xf numFmtId="183" fontId="14" fillId="0" borderId="0" applyFill="0" applyBorder="0" applyAlignment="0"/>
    <xf numFmtId="184" fontId="14" fillId="0" borderId="0" applyFill="0" applyBorder="0" applyAlignment="0"/>
    <xf numFmtId="179" fontId="14" fillId="0" borderId="0" applyFill="0" applyBorder="0" applyAlignment="0"/>
    <xf numFmtId="9" fontId="28" fillId="0" borderId="0" applyFont="0" applyFill="0" applyProtection="0"/>
    <xf numFmtId="0" fontId="14" fillId="0" borderId="0"/>
    <xf numFmtId="0" fontId="28" fillId="0" borderId="0"/>
    <xf numFmtId="0" fontId="27" fillId="0" borderId="0"/>
    <xf numFmtId="49" fontId="19" fillId="0" borderId="0" applyFill="0" applyBorder="0" applyAlignment="0"/>
    <xf numFmtId="197" fontId="14" fillId="0" borderId="0" applyFill="0" applyBorder="0" applyAlignment="0"/>
    <xf numFmtId="198" fontId="14" fillId="0" borderId="0" applyFill="0" applyBorder="0" applyAlignment="0"/>
    <xf numFmtId="199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40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0" fontId="31" fillId="0" borderId="0"/>
    <xf numFmtId="41" fontId="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5" fillId="0" borderId="0"/>
    <xf numFmtId="0" fontId="32" fillId="0" borderId="61"/>
    <xf numFmtId="201" fontId="17" fillId="0" borderId="0" applyFont="0" applyFill="0" applyBorder="0" applyAlignment="0" applyProtection="0"/>
    <xf numFmtId="0" fontId="17" fillId="0" borderId="0"/>
    <xf numFmtId="186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90" fontId="16" fillId="0" borderId="0" applyFont="0" applyFill="0" applyBorder="0" applyAlignment="0" applyProtection="0"/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189" fontId="16" fillId="0" borderId="0" applyFont="0" applyFill="0" applyBorder="0" applyAlignment="0" applyProtection="0"/>
    <xf numFmtId="0" fontId="6" fillId="0" borderId="0">
      <alignment vertical="center"/>
    </xf>
    <xf numFmtId="0" fontId="14" fillId="0" borderId="0"/>
    <xf numFmtId="0" fontId="33" fillId="0" borderId="0">
      <alignment vertical="center"/>
    </xf>
    <xf numFmtId="0" fontId="6" fillId="0" borderId="0">
      <alignment vertical="center"/>
    </xf>
    <xf numFmtId="0" fontId="14" fillId="0" borderId="0"/>
    <xf numFmtId="0" fontId="6" fillId="0" borderId="0">
      <alignment vertical="center"/>
    </xf>
    <xf numFmtId="0" fontId="16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/>
  </cellStyleXfs>
  <cellXfs count="18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4" borderId="0" xfId="0" applyFont="1" applyFill="1">
      <alignment vertical="center"/>
    </xf>
    <xf numFmtId="0" fontId="9" fillId="4" borderId="0" xfId="0" applyFont="1" applyFill="1" applyAlignment="1">
      <alignment horizontal="right" vertical="center"/>
    </xf>
    <xf numFmtId="0" fontId="11" fillId="4" borderId="33" xfId="0" applyFont="1" applyFill="1" applyBorder="1" applyAlignment="1">
      <alignment horizontal="left" vertical="center" wrapText="1"/>
    </xf>
    <xf numFmtId="0" fontId="2" fillId="4" borderId="31" xfId="0" applyFont="1" applyFill="1" applyBorder="1" applyAlignment="1">
      <alignment vertical="center" wrapText="1"/>
    </xf>
    <xf numFmtId="0" fontId="2" fillId="4" borderId="32" xfId="0" applyFont="1" applyFill="1" applyBorder="1" applyAlignment="1">
      <alignment vertical="center" wrapText="1"/>
    </xf>
    <xf numFmtId="0" fontId="12" fillId="4" borderId="31" xfId="0" applyFont="1" applyFill="1" applyBorder="1">
      <alignment vertical="center"/>
    </xf>
    <xf numFmtId="0" fontId="12" fillId="4" borderId="34" xfId="0" applyFont="1" applyFill="1" applyBorder="1">
      <alignment vertical="center"/>
    </xf>
    <xf numFmtId="0" fontId="11" fillId="4" borderId="35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vertical="center" wrapText="1"/>
    </xf>
    <xf numFmtId="0" fontId="2" fillId="4" borderId="27" xfId="0" applyFont="1" applyFill="1" applyBorder="1" applyAlignment="1">
      <alignment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vertical="center" wrapText="1"/>
    </xf>
    <xf numFmtId="0" fontId="10" fillId="4" borderId="14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35" fillId="4" borderId="0" xfId="0" applyFont="1" applyFill="1" applyAlignment="1">
      <alignment horizontal="right"/>
    </xf>
    <xf numFmtId="0" fontId="36" fillId="4" borderId="0" xfId="0" applyFont="1" applyFill="1" applyAlignment="1">
      <alignment horizontal="right" vertical="center"/>
    </xf>
    <xf numFmtId="0" fontId="37" fillId="4" borderId="0" xfId="0" applyFont="1" applyFill="1" applyAlignment="1">
      <alignment horizontal="right" vertical="center"/>
    </xf>
    <xf numFmtId="0" fontId="38" fillId="0" borderId="0" xfId="0" applyFont="1">
      <alignment vertical="center"/>
    </xf>
    <xf numFmtId="0" fontId="1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1" fillId="0" borderId="66" xfId="0" applyFont="1" applyBorder="1" applyAlignment="1">
      <alignment horizontal="center" vertical="center" wrapText="1" readingOrder="1"/>
    </xf>
    <xf numFmtId="0" fontId="41" fillId="0" borderId="67" xfId="0" applyFont="1" applyBorder="1" applyAlignment="1">
      <alignment horizontal="center" vertical="center" wrapText="1" readingOrder="1"/>
    </xf>
    <xf numFmtId="0" fontId="43" fillId="3" borderId="9" xfId="0" applyFont="1" applyFill="1" applyBorder="1" applyAlignment="1">
      <alignment horizontal="center" vertical="center" wrapText="1" readingOrder="1"/>
    </xf>
    <xf numFmtId="176" fontId="43" fillId="2" borderId="2" xfId="0" applyNumberFormat="1" applyFont="1" applyFill="1" applyBorder="1" applyAlignment="1">
      <alignment horizontal="center" vertical="center" wrapText="1" readingOrder="1"/>
    </xf>
    <xf numFmtId="176" fontId="43" fillId="2" borderId="6" xfId="0" applyNumberFormat="1" applyFont="1" applyFill="1" applyBorder="1" applyAlignment="1">
      <alignment horizontal="center" vertical="center" wrapText="1" readingOrder="1"/>
    </xf>
    <xf numFmtId="0" fontId="5" fillId="0" borderId="0" xfId="0" applyFont="1">
      <alignment vertical="center"/>
    </xf>
    <xf numFmtId="176" fontId="43" fillId="2" borderId="9" xfId="0" applyNumberFormat="1" applyFont="1" applyFill="1" applyBorder="1" applyAlignment="1">
      <alignment horizontal="center" vertical="center" wrapText="1" readingOrder="1"/>
    </xf>
    <xf numFmtId="202" fontId="42" fillId="9" borderId="3" xfId="0" applyNumberFormat="1" applyFont="1" applyFill="1" applyBorder="1" applyAlignment="1">
      <alignment horizontal="center" vertical="center" wrapText="1" readingOrder="1"/>
    </xf>
    <xf numFmtId="202" fontId="42" fillId="0" borderId="10" xfId="0" applyNumberFormat="1" applyFont="1" applyBorder="1" applyAlignment="1">
      <alignment horizontal="center" vertical="center" wrapText="1" readingOrder="1"/>
    </xf>
    <xf numFmtId="202" fontId="42" fillId="9" borderId="10" xfId="0" applyNumberFormat="1" applyFont="1" applyFill="1" applyBorder="1" applyAlignment="1">
      <alignment horizontal="center" vertical="center" wrapText="1" readingOrder="1"/>
    </xf>
    <xf numFmtId="202" fontId="42" fillId="0" borderId="1" xfId="0" applyNumberFormat="1" applyFont="1" applyBorder="1" applyAlignment="1">
      <alignment horizontal="center" vertical="center" wrapText="1" readingOrder="1"/>
    </xf>
    <xf numFmtId="202" fontId="42" fillId="9" borderId="1" xfId="0" applyNumberFormat="1" applyFont="1" applyFill="1" applyBorder="1" applyAlignment="1">
      <alignment horizontal="center" vertical="center" wrapText="1" readingOrder="1"/>
    </xf>
    <xf numFmtId="202" fontId="42" fillId="9" borderId="11" xfId="0" applyNumberFormat="1" applyFont="1" applyFill="1" applyBorder="1" applyAlignment="1">
      <alignment horizontal="center" vertical="center" wrapText="1" readingOrder="1"/>
    </xf>
    <xf numFmtId="202" fontId="42" fillId="0" borderId="11" xfId="0" applyNumberFormat="1" applyFont="1" applyBorder="1" applyAlignment="1">
      <alignment horizontal="center" vertical="center" wrapText="1" readingOrder="1"/>
    </xf>
    <xf numFmtId="202" fontId="44" fillId="9" borderId="11" xfId="0" applyNumberFormat="1" applyFont="1" applyFill="1" applyBorder="1" applyAlignment="1">
      <alignment horizontal="center" vertical="center" wrapText="1"/>
    </xf>
    <xf numFmtId="202" fontId="43" fillId="2" borderId="4" xfId="0" applyNumberFormat="1" applyFont="1" applyFill="1" applyBorder="1" applyAlignment="1">
      <alignment horizontal="center" vertical="center" wrapText="1" readingOrder="1"/>
    </xf>
    <xf numFmtId="202" fontId="43" fillId="2" borderId="12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41" fillId="0" borderId="62" xfId="0" applyFont="1" applyFill="1" applyBorder="1" applyAlignment="1">
      <alignment horizontal="center" vertical="center" wrapText="1" readingOrder="1"/>
    </xf>
    <xf numFmtId="0" fontId="41" fillId="0" borderId="75" xfId="0" applyFont="1" applyFill="1" applyBorder="1" applyAlignment="1">
      <alignment horizontal="center" vertical="center" wrapText="1" readingOrder="1"/>
    </xf>
    <xf numFmtId="0" fontId="41" fillId="0" borderId="63" xfId="0" applyFont="1" applyFill="1" applyBorder="1" applyAlignment="1">
      <alignment horizontal="center" vertical="center" wrapText="1" readingOrder="1"/>
    </xf>
    <xf numFmtId="0" fontId="41" fillId="0" borderId="76" xfId="0" applyFont="1" applyFill="1" applyBorder="1" applyAlignment="1">
      <alignment horizontal="center" vertical="center" wrapText="1" readingOrder="1"/>
    </xf>
    <xf numFmtId="0" fontId="11" fillId="0" borderId="84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left" vertical="center" wrapText="1"/>
    </xf>
    <xf numFmtId="0" fontId="16" fillId="2" borderId="80" xfId="0" applyFont="1" applyFill="1" applyBorder="1" applyAlignment="1">
      <alignment horizontal="center" vertical="center" wrapText="1"/>
    </xf>
    <xf numFmtId="202" fontId="42" fillId="0" borderId="7" xfId="0" applyNumberFormat="1" applyFont="1" applyBorder="1" applyAlignment="1">
      <alignment horizontal="center" vertical="center" wrapText="1" readingOrder="1"/>
    </xf>
    <xf numFmtId="202" fontId="43" fillId="2" borderId="68" xfId="0" applyNumberFormat="1" applyFont="1" applyFill="1" applyBorder="1" applyAlignment="1">
      <alignment horizontal="center" vertical="center" wrapText="1" readingOrder="1"/>
    </xf>
    <xf numFmtId="0" fontId="43" fillId="3" borderId="89" xfId="0" applyFont="1" applyFill="1" applyBorder="1" applyAlignment="1">
      <alignment horizontal="center" vertical="center" wrapText="1" readingOrder="1"/>
    </xf>
    <xf numFmtId="202" fontId="41" fillId="8" borderId="91" xfId="0" applyNumberFormat="1" applyFont="1" applyFill="1" applyBorder="1" applyAlignment="1">
      <alignment horizontal="center" vertical="center" wrapText="1" readingOrder="1"/>
    </xf>
    <xf numFmtId="0" fontId="41" fillId="0" borderId="92" xfId="0" applyFont="1" applyBorder="1" applyAlignment="1">
      <alignment horizontal="center" vertical="center" wrapText="1" readingOrder="1"/>
    </xf>
    <xf numFmtId="0" fontId="45" fillId="0" borderId="95" xfId="0" applyFont="1" applyBorder="1" applyAlignment="1">
      <alignment horizontal="center" vertical="center" wrapText="1" readingOrder="1"/>
    </xf>
    <xf numFmtId="202" fontId="43" fillId="2" borderId="99" xfId="0" applyNumberFormat="1" applyFont="1" applyFill="1" applyBorder="1" applyAlignment="1">
      <alignment horizontal="center" vertical="center" wrapText="1" readingOrder="1"/>
    </xf>
    <xf numFmtId="0" fontId="41" fillId="0" borderId="94" xfId="0" applyFont="1" applyBorder="1" applyAlignment="1">
      <alignment horizontal="center" vertical="center" wrapText="1" readingOrder="1"/>
    </xf>
    <xf numFmtId="0" fontId="41" fillId="0" borderId="66" xfId="0" quotePrefix="1" applyFont="1" applyFill="1" applyBorder="1" applyAlignment="1">
      <alignment horizontal="center" vertical="center" wrapText="1" readingOrder="1"/>
    </xf>
    <xf numFmtId="0" fontId="41" fillId="0" borderId="77" xfId="0" quotePrefix="1" applyFont="1" applyFill="1" applyBorder="1" applyAlignment="1">
      <alignment horizontal="center" vertical="center" wrapText="1" readingOrder="1"/>
    </xf>
    <xf numFmtId="0" fontId="41" fillId="0" borderId="74" xfId="0" quotePrefix="1" applyFont="1" applyFill="1" applyBorder="1" applyAlignment="1">
      <alignment horizontal="center" vertical="center" wrapText="1" readingOrder="1"/>
    </xf>
    <xf numFmtId="0" fontId="41" fillId="0" borderId="25" xfId="0" applyFont="1" applyBorder="1" applyAlignment="1">
      <alignment vertical="center" wrapText="1" readingOrder="1"/>
    </xf>
    <xf numFmtId="202" fontId="46" fillId="10" borderId="1" xfId="0" applyNumberFormat="1" applyFont="1" applyFill="1" applyBorder="1" applyAlignment="1">
      <alignment horizontal="center" vertical="center" wrapText="1" readingOrder="1"/>
    </xf>
    <xf numFmtId="0" fontId="41" fillId="0" borderId="65" xfId="0" applyFont="1" applyFill="1" applyBorder="1" applyAlignment="1">
      <alignment horizontal="center" vertical="center" wrapText="1" readingOrder="1"/>
    </xf>
    <xf numFmtId="0" fontId="41" fillId="0" borderId="64" xfId="0" applyFont="1" applyFill="1" applyBorder="1" applyAlignment="1">
      <alignment horizontal="center" vertical="center" wrapText="1" readingOrder="1"/>
    </xf>
    <xf numFmtId="0" fontId="0" fillId="0" borderId="108" xfId="0" applyFill="1" applyBorder="1">
      <alignment vertical="center"/>
    </xf>
    <xf numFmtId="0" fontId="0" fillId="0" borderId="105" xfId="0" applyFill="1" applyBorder="1">
      <alignment vertical="center"/>
    </xf>
    <xf numFmtId="0" fontId="41" fillId="0" borderId="107" xfId="0" applyFont="1" applyFill="1" applyBorder="1" applyAlignment="1">
      <alignment horizontal="center" vertical="center" wrapText="1" readingOrder="1"/>
    </xf>
    <xf numFmtId="0" fontId="41" fillId="0" borderId="104" xfId="0" applyFont="1" applyBorder="1" applyAlignment="1">
      <alignment horizontal="center" vertical="center" wrapText="1" readingOrder="1"/>
    </xf>
    <xf numFmtId="0" fontId="41" fillId="0" borderId="13" xfId="0" applyFont="1" applyBorder="1" applyAlignment="1">
      <alignment vertical="center" wrapText="1" readingOrder="1"/>
    </xf>
    <xf numFmtId="0" fontId="41" fillId="0" borderId="13" xfId="0" applyFont="1" applyFill="1" applyBorder="1" applyAlignment="1">
      <alignment horizontal="center" vertical="center" wrapText="1" readingOrder="1"/>
    </xf>
    <xf numFmtId="0" fontId="41" fillId="0" borderId="13" xfId="0" applyFont="1" applyBorder="1" applyAlignment="1">
      <alignment horizontal="center" vertical="center" wrapText="1" readingOrder="1"/>
    </xf>
    <xf numFmtId="0" fontId="0" fillId="3" borderId="105" xfId="0" applyFill="1" applyBorder="1">
      <alignment vertical="center"/>
    </xf>
    <xf numFmtId="0" fontId="41" fillId="0" borderId="70" xfId="0" applyFont="1" applyFill="1" applyBorder="1" applyAlignment="1">
      <alignment horizontal="center" vertical="center" wrapText="1" readingOrder="1"/>
    </xf>
    <xf numFmtId="0" fontId="41" fillId="0" borderId="69" xfId="0" applyFont="1" applyFill="1" applyBorder="1" applyAlignment="1">
      <alignment horizontal="center" vertical="center" wrapText="1" readingOrder="1"/>
    </xf>
    <xf numFmtId="0" fontId="47" fillId="0" borderId="13" xfId="0" applyFont="1" applyBorder="1">
      <alignment vertical="center"/>
    </xf>
    <xf numFmtId="202" fontId="48" fillId="0" borderId="7" xfId="0" applyNumberFormat="1" applyFont="1" applyBorder="1" applyAlignment="1">
      <alignment horizontal="center" vertical="center" wrapText="1" readingOrder="1"/>
    </xf>
    <xf numFmtId="202" fontId="42" fillId="0" borderId="1" xfId="0" applyNumberFormat="1" applyFont="1" applyBorder="1" applyAlignment="1">
      <alignment horizontal="center" vertical="center" wrapText="1" readingOrder="1"/>
    </xf>
    <xf numFmtId="202" fontId="42" fillId="9" borderId="1" xfId="0" applyNumberFormat="1" applyFont="1" applyFill="1" applyBorder="1" applyAlignment="1">
      <alignment horizontal="center" vertical="center" wrapText="1" readingOrder="1"/>
    </xf>
    <xf numFmtId="202" fontId="42" fillId="9" borderId="11" xfId="0" applyNumberFormat="1" applyFont="1" applyFill="1" applyBorder="1" applyAlignment="1">
      <alignment horizontal="center" vertical="center" wrapText="1" readingOrder="1"/>
    </xf>
    <xf numFmtId="202" fontId="42" fillId="0" borderId="11" xfId="0" applyNumberFormat="1" applyFont="1" applyBorder="1" applyAlignment="1">
      <alignment horizontal="center" vertical="center" wrapText="1" readingOrder="1"/>
    </xf>
    <xf numFmtId="202" fontId="42" fillId="0" borderId="7" xfId="0" applyNumberFormat="1" applyFont="1" applyBorder="1" applyAlignment="1">
      <alignment horizontal="center" vertical="center" wrapText="1" readingOrder="1"/>
    </xf>
    <xf numFmtId="0" fontId="41" fillId="0" borderId="76" xfId="0" applyFont="1" applyFill="1" applyBorder="1" applyAlignment="1">
      <alignment horizontal="center" vertical="center" wrapText="1" readingOrder="1"/>
    </xf>
    <xf numFmtId="0" fontId="43" fillId="3" borderId="13" xfId="0" applyFont="1" applyFill="1" applyBorder="1" applyAlignment="1">
      <alignment horizontal="center" vertical="center" wrapText="1" readingOrder="1"/>
    </xf>
    <xf numFmtId="0" fontId="5" fillId="0" borderId="0" xfId="0" applyFont="1">
      <alignment vertical="center"/>
    </xf>
    <xf numFmtId="0" fontId="0" fillId="0" borderId="109" xfId="0" applyFill="1" applyBorder="1">
      <alignment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right" vertical="center" wrapText="1"/>
    </xf>
    <xf numFmtId="0" fontId="39" fillId="4" borderId="30" xfId="0" applyFont="1" applyFill="1" applyBorder="1" applyAlignment="1">
      <alignment horizontal="right" vertical="center" wrapText="1"/>
    </xf>
    <xf numFmtId="0" fontId="39" fillId="4" borderId="38" xfId="0" applyFont="1" applyFill="1" applyBorder="1" applyAlignment="1">
      <alignment horizontal="right" vertical="center" wrapText="1"/>
    </xf>
    <xf numFmtId="0" fontId="13" fillId="4" borderId="39" xfId="0" applyFont="1" applyFill="1" applyBorder="1" applyAlignment="1">
      <alignment horizontal="left" vertical="center" wrapText="1"/>
    </xf>
    <xf numFmtId="0" fontId="13" fillId="4" borderId="40" xfId="0" applyFont="1" applyFill="1" applyBorder="1" applyAlignment="1">
      <alignment horizontal="left" vertical="center" wrapText="1"/>
    </xf>
    <xf numFmtId="0" fontId="13" fillId="4" borderId="41" xfId="0" applyFont="1" applyFill="1" applyBorder="1" applyAlignment="1">
      <alignment horizontal="left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177" fontId="13" fillId="4" borderId="42" xfId="0" applyNumberFormat="1" applyFont="1" applyFill="1" applyBorder="1" applyAlignment="1">
      <alignment horizontal="center" vertical="center" wrapText="1"/>
    </xf>
    <xf numFmtId="177" fontId="13" fillId="4" borderId="4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78" fontId="7" fillId="3" borderId="44" xfId="0" applyNumberFormat="1" applyFont="1" applyFill="1" applyBorder="1" applyAlignment="1">
      <alignment horizontal="center" vertical="center" wrapText="1"/>
    </xf>
    <xf numFmtId="178" fontId="7" fillId="3" borderId="46" xfId="0" applyNumberFormat="1" applyFont="1" applyFill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0" fontId="7" fillId="3" borderId="48" xfId="0" applyFont="1" applyFill="1" applyBorder="1" applyAlignment="1">
      <alignment horizontal="center" vertical="center"/>
    </xf>
    <xf numFmtId="178" fontId="11" fillId="0" borderId="49" xfId="0" applyNumberFormat="1" applyFont="1" applyBorder="1" applyAlignment="1">
      <alignment horizontal="center" vertical="center" wrapText="1"/>
    </xf>
    <xf numFmtId="178" fontId="11" fillId="0" borderId="15" xfId="0" applyNumberFormat="1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43" fillId="2" borderId="81" xfId="0" applyFont="1" applyFill="1" applyBorder="1" applyAlignment="1">
      <alignment horizontal="center" vertical="center" wrapText="1" readingOrder="1"/>
    </xf>
    <xf numFmtId="0" fontId="43" fillId="2" borderId="82" xfId="0" applyFont="1" applyFill="1" applyBorder="1" applyAlignment="1">
      <alignment horizontal="center" vertical="center" wrapText="1" readingOrder="1"/>
    </xf>
    <xf numFmtId="0" fontId="43" fillId="2" borderId="83" xfId="0" applyFont="1" applyFill="1" applyBorder="1" applyAlignment="1">
      <alignment horizontal="center" vertical="center" wrapText="1" readingOrder="1"/>
    </xf>
    <xf numFmtId="0" fontId="41" fillId="0" borderId="11" xfId="0" applyFont="1" applyBorder="1" applyAlignment="1">
      <alignment horizontal="center" vertical="center" wrapText="1" readingOrder="1"/>
    </xf>
    <xf numFmtId="0" fontId="41" fillId="0" borderId="23" xfId="0" applyFont="1" applyBorder="1" applyAlignment="1">
      <alignment horizontal="center" vertical="center" wrapText="1" readingOrder="1"/>
    </xf>
    <xf numFmtId="0" fontId="43" fillId="2" borderId="8" xfId="0" applyFont="1" applyFill="1" applyBorder="1" applyAlignment="1">
      <alignment horizontal="center" vertical="center" wrapText="1" readingOrder="1"/>
    </xf>
    <xf numFmtId="0" fontId="43" fillId="2" borderId="18" xfId="0" applyFont="1" applyFill="1" applyBorder="1" applyAlignment="1">
      <alignment horizontal="center" vertical="center" wrapText="1" readingOrder="1"/>
    </xf>
    <xf numFmtId="0" fontId="43" fillId="2" borderId="33" xfId="0" applyFont="1" applyFill="1" applyBorder="1" applyAlignment="1">
      <alignment horizontal="center" vertical="center" wrapText="1" readingOrder="1"/>
    </xf>
    <xf numFmtId="0" fontId="43" fillId="2" borderId="31" xfId="0" applyFont="1" applyFill="1" applyBorder="1" applyAlignment="1">
      <alignment horizontal="center" vertical="center" wrapText="1" readingOrder="1"/>
    </xf>
    <xf numFmtId="0" fontId="43" fillId="2" borderId="35" xfId="0" applyFont="1" applyFill="1" applyBorder="1" applyAlignment="1">
      <alignment horizontal="center" vertical="center" wrapText="1" readingOrder="1"/>
    </xf>
    <xf numFmtId="0" fontId="43" fillId="2" borderId="0" xfId="0" applyFont="1" applyFill="1" applyBorder="1" applyAlignment="1">
      <alignment horizontal="center" vertical="center" wrapText="1" readingOrder="1"/>
    </xf>
    <xf numFmtId="0" fontId="43" fillId="2" borderId="88" xfId="0" applyFont="1" applyFill="1" applyBorder="1" applyAlignment="1">
      <alignment horizontal="center" vertical="center" wrapText="1" readingOrder="1"/>
    </xf>
    <xf numFmtId="0" fontId="43" fillId="2" borderId="20" xfId="0" applyFont="1" applyFill="1" applyBorder="1" applyAlignment="1">
      <alignment horizontal="center" vertical="center" wrapText="1" readingOrder="1"/>
    </xf>
    <xf numFmtId="0" fontId="41" fillId="0" borderId="90" xfId="0" applyFont="1" applyBorder="1" applyAlignment="1">
      <alignment horizontal="center" vertical="center" wrapText="1" readingOrder="1"/>
    </xf>
    <xf numFmtId="0" fontId="41" fillId="0" borderId="19" xfId="0" applyFont="1" applyBorder="1" applyAlignment="1">
      <alignment horizontal="center" vertical="center" wrapText="1" readingOrder="1"/>
    </xf>
    <xf numFmtId="0" fontId="41" fillId="0" borderId="26" xfId="0" applyFont="1" applyBorder="1" applyAlignment="1">
      <alignment horizontal="center" vertical="center" wrapText="1" readingOrder="1"/>
    </xf>
    <xf numFmtId="0" fontId="43" fillId="2" borderId="5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43" fillId="3" borderId="86" xfId="0" applyFont="1" applyFill="1" applyBorder="1" applyAlignment="1">
      <alignment horizontal="center" vertical="center" wrapText="1" readingOrder="1"/>
    </xf>
    <xf numFmtId="0" fontId="43" fillId="3" borderId="31" xfId="0" applyFont="1" applyFill="1" applyBorder="1" applyAlignment="1">
      <alignment horizontal="center" vertical="center" wrapText="1" readingOrder="1"/>
    </xf>
    <xf numFmtId="0" fontId="43" fillId="3" borderId="34" xfId="0" applyFont="1" applyFill="1" applyBorder="1" applyAlignment="1">
      <alignment horizontal="center" vertical="center" wrapText="1" readingOrder="1"/>
    </xf>
    <xf numFmtId="0" fontId="43" fillId="3" borderId="10" xfId="0" applyFont="1" applyFill="1" applyBorder="1" applyAlignment="1">
      <alignment horizontal="center" vertical="center" wrapText="1" readingOrder="1"/>
    </xf>
    <xf numFmtId="0" fontId="43" fillId="3" borderId="19" xfId="0" applyFont="1" applyFill="1" applyBorder="1" applyAlignment="1">
      <alignment horizontal="center" vertical="center" wrapText="1" readingOrder="1"/>
    </xf>
    <xf numFmtId="0" fontId="43" fillId="3" borderId="87" xfId="0" applyFont="1" applyFill="1" applyBorder="1" applyAlignment="1">
      <alignment horizontal="center" vertical="center" wrapText="1" readingOrder="1"/>
    </xf>
    <xf numFmtId="0" fontId="43" fillId="2" borderId="71" xfId="0" applyFont="1" applyFill="1" applyBorder="1" applyAlignment="1">
      <alignment horizontal="center" vertical="center" wrapText="1" readingOrder="1"/>
    </xf>
    <xf numFmtId="0" fontId="43" fillId="2" borderId="7" xfId="0" applyFont="1" applyFill="1" applyBorder="1" applyAlignment="1">
      <alignment horizontal="center" vertical="center" wrapText="1" readingOrder="1"/>
    </xf>
    <xf numFmtId="0" fontId="43" fillId="2" borderId="11" xfId="0" applyFont="1" applyFill="1" applyBorder="1" applyAlignment="1">
      <alignment horizontal="center" vertical="center" wrapText="1" readingOrder="1"/>
    </xf>
    <xf numFmtId="0" fontId="43" fillId="2" borderId="96" xfId="0" applyFont="1" applyFill="1" applyBorder="1" applyAlignment="1">
      <alignment horizontal="center" vertical="center" wrapText="1" readingOrder="1"/>
    </xf>
    <xf numFmtId="0" fontId="43" fillId="2" borderId="97" xfId="0" applyFont="1" applyFill="1" applyBorder="1" applyAlignment="1">
      <alignment horizontal="center" vertical="center" wrapText="1" readingOrder="1"/>
    </xf>
    <xf numFmtId="0" fontId="43" fillId="2" borderId="98" xfId="0" applyFont="1" applyFill="1" applyBorder="1" applyAlignment="1">
      <alignment horizontal="center" vertical="center" wrapText="1" readingOrder="1"/>
    </xf>
    <xf numFmtId="0" fontId="41" fillId="0" borderId="21" xfId="0" applyFont="1" applyBorder="1" applyAlignment="1">
      <alignment horizontal="center" vertical="center" wrapText="1" readingOrder="1"/>
    </xf>
    <xf numFmtId="0" fontId="41" fillId="0" borderId="22" xfId="0" applyFont="1" applyBorder="1" applyAlignment="1">
      <alignment horizontal="center" vertical="center" wrapText="1" readingOrder="1"/>
    </xf>
    <xf numFmtId="0" fontId="41" fillId="0" borderId="24" xfId="0" applyFont="1" applyBorder="1" applyAlignment="1">
      <alignment horizontal="center" vertical="center" wrapText="1" readingOrder="1"/>
    </xf>
    <xf numFmtId="0" fontId="41" fillId="0" borderId="25" xfId="0" applyFont="1" applyBorder="1" applyAlignment="1">
      <alignment horizontal="center" vertical="center" wrapText="1" readingOrder="1"/>
    </xf>
    <xf numFmtId="0" fontId="41" fillId="0" borderId="72" xfId="0" applyFont="1" applyBorder="1" applyAlignment="1">
      <alignment horizontal="center" vertical="center" wrapText="1" readingOrder="1"/>
    </xf>
    <xf numFmtId="0" fontId="41" fillId="0" borderId="73" xfId="0" applyFont="1" applyBorder="1" applyAlignment="1">
      <alignment horizontal="center" vertical="center" wrapText="1" readingOrder="1"/>
    </xf>
    <xf numFmtId="0" fontId="41" fillId="0" borderId="93" xfId="0" applyFont="1" applyBorder="1" applyAlignment="1">
      <alignment horizontal="center" vertical="center" wrapText="1" readingOrder="1"/>
    </xf>
    <xf numFmtId="0" fontId="41" fillId="0" borderId="94" xfId="0" applyFont="1" applyBorder="1" applyAlignment="1">
      <alignment horizontal="center" vertical="center" wrapText="1" readingOrder="1"/>
    </xf>
    <xf numFmtId="0" fontId="41" fillId="0" borderId="100" xfId="0" applyFont="1" applyBorder="1" applyAlignment="1">
      <alignment horizontal="center" vertical="center" wrapText="1" readingOrder="1"/>
    </xf>
    <xf numFmtId="0" fontId="45" fillId="0" borderId="78" xfId="0" applyFont="1" applyBorder="1" applyAlignment="1">
      <alignment horizontal="center" vertical="center" wrapText="1" readingOrder="1"/>
    </xf>
    <xf numFmtId="0" fontId="45" fillId="0" borderId="79" xfId="0" applyFont="1" applyBorder="1" applyAlignment="1">
      <alignment horizontal="center" vertical="center" wrapText="1" readingOrder="1"/>
    </xf>
    <xf numFmtId="0" fontId="41" fillId="0" borderId="107" xfId="0" applyFont="1" applyBorder="1" applyAlignment="1">
      <alignment horizontal="center" vertical="center" wrapText="1" readingOrder="1"/>
    </xf>
    <xf numFmtId="0" fontId="43" fillId="3" borderId="102" xfId="0" applyFont="1" applyFill="1" applyBorder="1" applyAlignment="1">
      <alignment horizontal="center" vertical="center" wrapText="1" readingOrder="1"/>
    </xf>
    <xf numFmtId="0" fontId="43" fillId="3" borderId="103" xfId="0" applyFont="1" applyFill="1" applyBorder="1" applyAlignment="1">
      <alignment horizontal="center" vertical="center" wrapText="1" readingOrder="1"/>
    </xf>
    <xf numFmtId="0" fontId="43" fillId="3" borderId="13" xfId="0" applyFont="1" applyFill="1" applyBorder="1" applyAlignment="1">
      <alignment horizontal="center" vertical="center" wrapText="1" readingOrder="1"/>
    </xf>
    <xf numFmtId="0" fontId="43" fillId="3" borderId="105" xfId="0" applyFont="1" applyFill="1" applyBorder="1" applyAlignment="1">
      <alignment horizontal="center" vertical="center" wrapText="1" readingOrder="1"/>
    </xf>
    <xf numFmtId="0" fontId="43" fillId="3" borderId="101" xfId="0" applyFont="1" applyFill="1" applyBorder="1" applyAlignment="1">
      <alignment horizontal="center" vertical="center" wrapText="1" readingOrder="1"/>
    </xf>
    <xf numFmtId="0" fontId="43" fillId="3" borderId="104" xfId="0" applyFont="1" applyFill="1" applyBorder="1" applyAlignment="1">
      <alignment horizontal="center" vertical="center" wrapText="1" readingOrder="1"/>
    </xf>
    <xf numFmtId="0" fontId="41" fillId="0" borderId="104" xfId="0" applyFont="1" applyBorder="1" applyAlignment="1">
      <alignment horizontal="center" vertical="center" wrapText="1" readingOrder="1"/>
    </xf>
    <xf numFmtId="0" fontId="41" fillId="0" borderId="13" xfId="0" applyFont="1" applyBorder="1" applyAlignment="1">
      <alignment horizontal="center" vertical="center" wrapText="1" readingOrder="1"/>
    </xf>
    <xf numFmtId="0" fontId="41" fillId="0" borderId="106" xfId="0" applyFont="1" applyBorder="1" applyAlignment="1">
      <alignment horizontal="center" vertical="center" wrapText="1" readingOrder="1"/>
    </xf>
  </cellXfs>
  <cellStyles count="120">
    <cellStyle name="_x000a_386grabber=M" xfId="1" xr:uid="{00000000-0005-0000-0000-000000000000}"/>
    <cellStyle name="_0223_해운대구청(LH6000)" xfId="2" xr:uid="{00000000-0005-0000-0000-000001000000}"/>
    <cellStyle name="_Book1" xfId="3" xr:uid="{00000000-0005-0000-0000-000002000000}"/>
    <cellStyle name="_WebCash_KDB_2thDevelop_20020618" xfId="4" xr:uid="{00000000-0005-0000-0000-000003000000}"/>
    <cellStyle name="_견적(RP5405)" xfId="5" xr:uid="{00000000-0005-0000-0000-000004000000}"/>
    <cellStyle name="_러시앤캐시 개발비용_20070320" xfId="6" xr:uid="{00000000-0005-0000-0000-000005000000}"/>
    <cellStyle name="_러시앤캐시(20070321)_1안" xfId="7" xr:uid="{00000000-0005-0000-0000-000006000000}"/>
    <cellStyle name="_부산은행 HP견적" xfId="8" xr:uid="{00000000-0005-0000-0000-000007000000}"/>
    <cellStyle name="_하드웨어세부견적서_모음" xfId="9" xr:uid="{00000000-0005-0000-0000-000008000000}"/>
    <cellStyle name="=C:\WINDOWS\SYSTEM32\COMMAND.COM" xfId="10" xr:uid="{00000000-0005-0000-0000-000009000000}"/>
    <cellStyle name="Calc Currency (0)" xfId="11" xr:uid="{00000000-0005-0000-0000-00000A000000}"/>
    <cellStyle name="Calc Currency (2)" xfId="12" xr:uid="{00000000-0005-0000-0000-00000B000000}"/>
    <cellStyle name="Calc Percent (0)" xfId="13" xr:uid="{00000000-0005-0000-0000-00000C000000}"/>
    <cellStyle name="Calc Percent (1)" xfId="14" xr:uid="{00000000-0005-0000-0000-00000D000000}"/>
    <cellStyle name="Calc Percent (2)" xfId="15" xr:uid="{00000000-0005-0000-0000-00000E000000}"/>
    <cellStyle name="Calc Units (0)" xfId="16" xr:uid="{00000000-0005-0000-0000-00000F000000}"/>
    <cellStyle name="Calc Units (1)" xfId="17" xr:uid="{00000000-0005-0000-0000-000010000000}"/>
    <cellStyle name="Calc Units (2)" xfId="18" xr:uid="{00000000-0005-0000-0000-000011000000}"/>
    <cellStyle name="category" xfId="19" xr:uid="{00000000-0005-0000-0000-000012000000}"/>
    <cellStyle name="Comma  - Style1" xfId="20" xr:uid="{00000000-0005-0000-0000-000013000000}"/>
    <cellStyle name="Comma  - Style2" xfId="21" xr:uid="{00000000-0005-0000-0000-000014000000}"/>
    <cellStyle name="Comma  - Style3" xfId="22" xr:uid="{00000000-0005-0000-0000-000015000000}"/>
    <cellStyle name="Comma  - Style4" xfId="23" xr:uid="{00000000-0005-0000-0000-000016000000}"/>
    <cellStyle name="Comma  - Style5" xfId="24" xr:uid="{00000000-0005-0000-0000-000017000000}"/>
    <cellStyle name="Comma  - Style6" xfId="25" xr:uid="{00000000-0005-0000-0000-000018000000}"/>
    <cellStyle name="Comma  - Style7" xfId="26" xr:uid="{00000000-0005-0000-0000-000019000000}"/>
    <cellStyle name="Comma  - Style8" xfId="27" xr:uid="{00000000-0005-0000-0000-00001A000000}"/>
    <cellStyle name="Comma [0]_ SG&amp;A Bridge " xfId="28" xr:uid="{00000000-0005-0000-0000-00001B000000}"/>
    <cellStyle name="Comma [00]" xfId="29" xr:uid="{00000000-0005-0000-0000-00001C000000}"/>
    <cellStyle name="comma zerodec" xfId="30" xr:uid="{00000000-0005-0000-0000-00001D000000}"/>
    <cellStyle name="Comma_ SG&amp;A Bridge " xfId="31" xr:uid="{00000000-0005-0000-0000-00001E000000}"/>
    <cellStyle name="Currency [0]_ SG&amp;A Bridge " xfId="32" xr:uid="{00000000-0005-0000-0000-00001F000000}"/>
    <cellStyle name="Currency [00]" xfId="33" xr:uid="{00000000-0005-0000-0000-000020000000}"/>
    <cellStyle name="Currency_ SG&amp;A Bridge " xfId="34" xr:uid="{00000000-0005-0000-0000-000021000000}"/>
    <cellStyle name="Currency1" xfId="35" xr:uid="{00000000-0005-0000-0000-000022000000}"/>
    <cellStyle name="Date Short" xfId="36" xr:uid="{00000000-0005-0000-0000-000023000000}"/>
    <cellStyle name="DELTA" xfId="37" xr:uid="{00000000-0005-0000-0000-000024000000}"/>
    <cellStyle name="Dollar (zero dec)" xfId="38" xr:uid="{00000000-0005-0000-0000-000025000000}"/>
    <cellStyle name="Enter Currency (0)" xfId="39" xr:uid="{00000000-0005-0000-0000-000026000000}"/>
    <cellStyle name="Enter Currency (2)" xfId="40" xr:uid="{00000000-0005-0000-0000-000027000000}"/>
    <cellStyle name="Enter Units (0)" xfId="41" xr:uid="{00000000-0005-0000-0000-000028000000}"/>
    <cellStyle name="Enter Units (1)" xfId="42" xr:uid="{00000000-0005-0000-0000-000029000000}"/>
    <cellStyle name="Enter Units (2)" xfId="43" xr:uid="{00000000-0005-0000-0000-00002A000000}"/>
    <cellStyle name="Grey" xfId="44" xr:uid="{00000000-0005-0000-0000-00002B000000}"/>
    <cellStyle name="HEADER" xfId="45" xr:uid="{00000000-0005-0000-0000-00002C000000}"/>
    <cellStyle name="Header 1" xfId="46" xr:uid="{00000000-0005-0000-0000-00002D000000}"/>
    <cellStyle name="Header 2" xfId="47" xr:uid="{00000000-0005-0000-0000-00002E000000}"/>
    <cellStyle name="Header Center" xfId="48" xr:uid="{00000000-0005-0000-0000-00002F000000}"/>
    <cellStyle name="Header1" xfId="49" xr:uid="{00000000-0005-0000-0000-000030000000}"/>
    <cellStyle name="Header2" xfId="50" xr:uid="{00000000-0005-0000-0000-000031000000}"/>
    <cellStyle name="HP Logo" xfId="51" xr:uid="{00000000-0005-0000-0000-000032000000}"/>
    <cellStyle name="Hyperlink" xfId="52" xr:uid="{00000000-0005-0000-0000-000033000000}"/>
    <cellStyle name="Input [yellow]" xfId="53" xr:uid="{00000000-0005-0000-0000-000034000000}"/>
    <cellStyle name="Komma [0]_BINV" xfId="54" xr:uid="{00000000-0005-0000-0000-000035000000}"/>
    <cellStyle name="Komma_BINV" xfId="55" xr:uid="{00000000-0005-0000-0000-000036000000}"/>
    <cellStyle name="Link Currency (0)" xfId="56" xr:uid="{00000000-0005-0000-0000-000037000000}"/>
    <cellStyle name="Link Currency (2)" xfId="57" xr:uid="{00000000-0005-0000-0000-000038000000}"/>
    <cellStyle name="Link Units (0)" xfId="58" xr:uid="{00000000-0005-0000-0000-000039000000}"/>
    <cellStyle name="Link Units (1)" xfId="59" xr:uid="{00000000-0005-0000-0000-00003A000000}"/>
    <cellStyle name="Link Units (2)" xfId="60" xr:uid="{00000000-0005-0000-0000-00003B000000}"/>
    <cellStyle name="Model" xfId="61" xr:uid="{00000000-0005-0000-0000-00003C000000}"/>
    <cellStyle name="Normal - Style1" xfId="62" xr:uid="{00000000-0005-0000-0000-00003D000000}"/>
    <cellStyle name="Normal_ SG&amp;A Bridge " xfId="63" xr:uid="{00000000-0005-0000-0000-00003E000000}"/>
    <cellStyle name="Percent [0]" xfId="64" xr:uid="{00000000-0005-0000-0000-00003F000000}"/>
    <cellStyle name="Percent [00]" xfId="65" xr:uid="{00000000-0005-0000-0000-000040000000}"/>
    <cellStyle name="Percent [2]" xfId="66" xr:uid="{00000000-0005-0000-0000-000041000000}"/>
    <cellStyle name="Percent_#6 Temps &amp; Contractors" xfId="67" xr:uid="{00000000-0005-0000-0000-000042000000}"/>
    <cellStyle name="PrePop Currency (0)" xfId="68" xr:uid="{00000000-0005-0000-0000-000043000000}"/>
    <cellStyle name="PrePop Currency (2)" xfId="69" xr:uid="{00000000-0005-0000-0000-000044000000}"/>
    <cellStyle name="PrePop Units (0)" xfId="70" xr:uid="{00000000-0005-0000-0000-000045000000}"/>
    <cellStyle name="PrePop Units (1)" xfId="71" xr:uid="{00000000-0005-0000-0000-000046000000}"/>
    <cellStyle name="PrePop Units (2)" xfId="72" xr:uid="{00000000-0005-0000-0000-000047000000}"/>
    <cellStyle name="Procent_BINV" xfId="73" xr:uid="{00000000-0005-0000-0000-000048000000}"/>
    <cellStyle name="PropertyBorder" xfId="74" xr:uid="{00000000-0005-0000-0000-000049000000}"/>
    <cellStyle name="Standaard_BINV" xfId="75" xr:uid="{00000000-0005-0000-0000-00004A000000}"/>
    <cellStyle name="subhead" xfId="76" xr:uid="{00000000-0005-0000-0000-00004B000000}"/>
    <cellStyle name="Text Indent A" xfId="77" xr:uid="{00000000-0005-0000-0000-00004C000000}"/>
    <cellStyle name="Text Indent B" xfId="78" xr:uid="{00000000-0005-0000-0000-00004D000000}"/>
    <cellStyle name="Text Indent C" xfId="79" xr:uid="{00000000-0005-0000-0000-00004E000000}"/>
    <cellStyle name="Valuta [0]_BINV" xfId="80" xr:uid="{00000000-0005-0000-0000-00004F000000}"/>
    <cellStyle name="Valuta_BINV" xfId="81" xr:uid="{00000000-0005-0000-0000-000050000000}"/>
    <cellStyle name="뒤에 오는 하이퍼링크_PERSONAL" xfId="82" xr:uid="{00000000-0005-0000-0000-000051000000}"/>
    <cellStyle name="똿뗦먛귟 [0.00]_PRODUCT DETAIL Q1" xfId="83" xr:uid="{00000000-0005-0000-0000-000052000000}"/>
    <cellStyle name="똿뗦먛귟_PRODUCT DETAIL Q1" xfId="84" xr:uid="{00000000-0005-0000-0000-000053000000}"/>
    <cellStyle name="믅됞 [0.00]_PRODUCT DETAIL Q1" xfId="85" xr:uid="{00000000-0005-0000-0000-000054000000}"/>
    <cellStyle name="믅됞_PRODUCT DETAIL Q1" xfId="86" xr:uid="{00000000-0005-0000-0000-000055000000}"/>
    <cellStyle name="백분율 2" xfId="87" xr:uid="{00000000-0005-0000-0000-000056000000}"/>
    <cellStyle name="백분율 3" xfId="88" xr:uid="{00000000-0005-0000-0000-000057000000}"/>
    <cellStyle name="뷭?_BOOKSHIP" xfId="89" xr:uid="{00000000-0005-0000-0000-000058000000}"/>
    <cellStyle name="쉼표 [0] 2" xfId="90" xr:uid="{00000000-0005-0000-0000-000059000000}"/>
    <cellStyle name="쉼표 [0] 2 2" xfId="112" xr:uid="{00000000-0005-0000-0000-000059000000}"/>
    <cellStyle name="쉼표 [0] 2 3" xfId="116" xr:uid="{00000000-0005-0000-0000-000059000000}"/>
    <cellStyle name="쉼표 [0] 3" xfId="91" xr:uid="{00000000-0005-0000-0000-00005A000000}"/>
    <cellStyle name="쉼표 [0] 3 2" xfId="113" xr:uid="{00000000-0005-0000-0000-00005A000000}"/>
    <cellStyle name="쉼표 [0] 3 3" xfId="117" xr:uid="{00000000-0005-0000-0000-00005A000000}"/>
    <cellStyle name="스타일 1" xfId="92" xr:uid="{00000000-0005-0000-0000-00005B000000}"/>
    <cellStyle name="안건회계법인" xfId="93" xr:uid="{00000000-0005-0000-0000-00005C000000}"/>
    <cellStyle name="원" xfId="94" xr:uid="{00000000-0005-0000-0000-00005D000000}"/>
    <cellStyle name="지정되지 않음" xfId="95" xr:uid="{00000000-0005-0000-0000-00005E000000}"/>
    <cellStyle name="콤마 [0]_(980121-$33,662)" xfId="96" xr:uid="{00000000-0005-0000-0000-00005F000000}"/>
    <cellStyle name="콤마_(980121-$33,662)" xfId="97" xr:uid="{00000000-0005-0000-0000-000060000000}"/>
    <cellStyle name="通貨 [0.00]_PERSONAL" xfId="98" xr:uid="{00000000-0005-0000-0000-000061000000}"/>
    <cellStyle name="통화 [0] 2" xfId="99" xr:uid="{00000000-0005-0000-0000-000062000000}"/>
    <cellStyle name="통화 [0] 2 2" xfId="114" xr:uid="{00000000-0005-0000-0000-000062000000}"/>
    <cellStyle name="통화 [0] 2 3" xfId="118" xr:uid="{00000000-0005-0000-0000-000062000000}"/>
    <cellStyle name="통화 [0] 3" xfId="100" xr:uid="{00000000-0005-0000-0000-000063000000}"/>
    <cellStyle name="통화 [0] 3 2" xfId="115" xr:uid="{00000000-0005-0000-0000-000063000000}"/>
    <cellStyle name="통화 [0] 3 3" xfId="119" xr:uid="{00000000-0005-0000-0000-000063000000}"/>
    <cellStyle name="通貨_PERSONAL" xfId="101" xr:uid="{00000000-0005-0000-0000-000064000000}"/>
    <cellStyle name="표준" xfId="0" builtinId="0"/>
    <cellStyle name="표준 2" xfId="102" xr:uid="{00000000-0005-0000-0000-000066000000}"/>
    <cellStyle name="표준 2 2" xfId="103" xr:uid="{00000000-0005-0000-0000-000067000000}"/>
    <cellStyle name="표준 2 3" xfId="104" xr:uid="{00000000-0005-0000-0000-000068000000}"/>
    <cellStyle name="표준 3" xfId="105" xr:uid="{00000000-0005-0000-0000-000069000000}"/>
    <cellStyle name="표준 3 2" xfId="106" xr:uid="{00000000-0005-0000-0000-00006A000000}"/>
    <cellStyle name="표준 4" xfId="107" xr:uid="{00000000-0005-0000-0000-00006B000000}"/>
    <cellStyle name="標準_PERSONAL" xfId="108" xr:uid="{00000000-0005-0000-0000-00006C000000}"/>
    <cellStyle name="하이퍼링크 2" xfId="109" xr:uid="{00000000-0005-0000-0000-00006D000000}"/>
    <cellStyle name="桁区切り [0.00]_PERSONAL" xfId="110" xr:uid="{00000000-0005-0000-0000-00006E000000}"/>
    <cellStyle name="桁区切り_PERSONAL" xfId="111" xr:uid="{00000000-0005-0000-0000-00006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45</xdr:row>
      <xdr:rowOff>114300</xdr:rowOff>
    </xdr:from>
    <xdr:to>
      <xdr:col>11</xdr:col>
      <xdr:colOff>671793</xdr:colOff>
      <xdr:row>45</xdr:row>
      <xdr:rowOff>180975</xdr:rowOff>
    </xdr:to>
    <xdr:pic>
      <xdr:nvPicPr>
        <xdr:cNvPr id="10" name="그림 9" descr="바닥라인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14973300"/>
          <a:ext cx="9883028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591110</xdr:colOff>
      <xdr:row>45</xdr:row>
      <xdr:rowOff>209550</xdr:rowOff>
    </xdr:from>
    <xdr:to>
      <xdr:col>11</xdr:col>
      <xdr:colOff>629210</xdr:colOff>
      <xdr:row>46</xdr:row>
      <xdr:rowOff>266700</xdr:rowOff>
    </xdr:to>
    <xdr:pic>
      <xdr:nvPicPr>
        <xdr:cNvPr id="15" name="그림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8551" y="18329462"/>
          <a:ext cx="1405218" cy="270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376518</xdr:colOff>
      <xdr:row>17</xdr:row>
      <xdr:rowOff>85165</xdr:rowOff>
    </xdr:from>
    <xdr:to>
      <xdr:col>2</xdr:col>
      <xdr:colOff>226375</xdr:colOff>
      <xdr:row>19</xdr:row>
      <xdr:rowOff>209440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518" y="12848665"/>
          <a:ext cx="1172151" cy="673364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123266</xdr:colOff>
      <xdr:row>0</xdr:row>
      <xdr:rowOff>67236</xdr:rowOff>
    </xdr:from>
    <xdr:to>
      <xdr:col>1</xdr:col>
      <xdr:colOff>427506</xdr:colOff>
      <xdr:row>2</xdr:row>
      <xdr:rowOff>161926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6" y="67236"/>
          <a:ext cx="942975" cy="542925"/>
        </a:xfrm>
        <a:prstGeom prst="rect">
          <a:avLst/>
        </a:prstGeom>
      </xdr:spPr>
    </xdr:pic>
    <xdr:clientData/>
  </xdr:twoCellAnchor>
  <xdr:twoCellAnchor>
    <xdr:from>
      <xdr:col>0</xdr:col>
      <xdr:colOff>4445</xdr:colOff>
      <xdr:row>2</xdr:row>
      <xdr:rowOff>228040</xdr:rowOff>
    </xdr:from>
    <xdr:to>
      <xdr:col>11</xdr:col>
      <xdr:colOff>682710</xdr:colOff>
      <xdr:row>2</xdr:row>
      <xdr:rowOff>228040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445" y="676275"/>
          <a:ext cx="10080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412750</xdr:colOff>
          <xdr:row>9</xdr:row>
          <xdr:rowOff>0</xdr:rowOff>
        </xdr:from>
        <xdr:to>
          <xdr:col>8</xdr:col>
          <xdr:colOff>1143000</xdr:colOff>
          <xdr:row>12</xdr:row>
          <xdr:rowOff>127000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16</xdr:row>
      <xdr:rowOff>324971</xdr:rowOff>
    </xdr:from>
    <xdr:to>
      <xdr:col>11</xdr:col>
      <xdr:colOff>671793</xdr:colOff>
      <xdr:row>16</xdr:row>
      <xdr:rowOff>391646</xdr:rowOff>
    </xdr:to>
    <xdr:pic>
      <xdr:nvPicPr>
        <xdr:cNvPr id="19" name="그림 18" descr="바닥라인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6308912"/>
          <a:ext cx="1003991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609040</xdr:colOff>
      <xdr:row>16</xdr:row>
      <xdr:rowOff>409015</xdr:rowOff>
    </xdr:from>
    <xdr:to>
      <xdr:col>11</xdr:col>
      <xdr:colOff>647140</xdr:colOff>
      <xdr:row>16</xdr:row>
      <xdr:rowOff>679077</xdr:rowOff>
    </xdr:to>
    <xdr:pic>
      <xdr:nvPicPr>
        <xdr:cNvPr id="20" name="그림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3658" y="6392956"/>
          <a:ext cx="1405217" cy="270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41</xdr:row>
      <xdr:rowOff>78441</xdr:rowOff>
    </xdr:from>
    <xdr:ext cx="9950824" cy="8240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7238" y="14007353"/>
          <a:ext cx="9950824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view="pageBreakPreview" topLeftCell="A19" zoomScale="85" zoomScaleNormal="100" zoomScaleSheetLayoutView="85" workbookViewId="0">
      <selection activeCell="C6" sqref="C6"/>
    </sheetView>
  </sheetViews>
  <sheetFormatPr defaultRowHeight="17"/>
  <cols>
    <col min="1" max="1" width="8.33203125" customWidth="1"/>
    <col min="3" max="3" width="8.6640625" customWidth="1"/>
    <col min="4" max="4" width="9" customWidth="1"/>
    <col min="5" max="5" width="21.08203125" customWidth="1"/>
    <col min="8" max="8" width="12.6640625" bestFit="1" customWidth="1"/>
    <col min="9" max="9" width="15.58203125" customWidth="1"/>
    <col min="10" max="10" width="8.1640625" customWidth="1"/>
    <col min="11" max="11" width="10.33203125" customWidth="1"/>
    <col min="12" max="12" width="11" customWidth="1"/>
  </cols>
  <sheetData>
    <row r="1" spans="1:1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>
      <c r="A2" s="3"/>
      <c r="B2" s="20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38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7"/>
    </row>
    <row r="4" spans="1:12" ht="56.25" customHeight="1">
      <c r="A4" s="3"/>
      <c r="B4" s="3"/>
      <c r="C4" s="130" t="s">
        <v>15</v>
      </c>
      <c r="D4" s="130"/>
      <c r="E4" s="130"/>
      <c r="F4" s="130"/>
      <c r="G4" s="130"/>
      <c r="H4" s="130"/>
      <c r="I4" s="130"/>
      <c r="J4" s="3"/>
      <c r="K4" s="3"/>
      <c r="L4" s="18"/>
    </row>
    <row r="5" spans="1:12" ht="33.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0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3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9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0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60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1">
      <c r="A14" s="131" t="s">
        <v>50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</row>
    <row r="15" spans="1:12" ht="10.5" customHeight="1">
      <c r="A15" s="131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</row>
    <row r="16" spans="1:12" ht="41.25" customHeight="1">
      <c r="A16" s="131" t="s">
        <v>49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</row>
    <row r="17" spans="1:12" ht="55.5" customHeight="1" thickBo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5"/>
      <c r="B18" s="6"/>
      <c r="C18" s="7"/>
      <c r="D18" s="6"/>
      <c r="E18" s="6"/>
      <c r="F18" s="6"/>
      <c r="G18" s="8"/>
      <c r="H18" s="8"/>
      <c r="I18" s="8"/>
      <c r="J18" s="8"/>
      <c r="K18" s="8"/>
      <c r="L18" s="9"/>
    </row>
    <row r="19" spans="1:12" ht="26">
      <c r="A19" s="10"/>
      <c r="B19" s="11"/>
      <c r="C19" s="12"/>
      <c r="D19" s="86" t="s">
        <v>8</v>
      </c>
      <c r="E19" s="87"/>
      <c r="F19" s="87"/>
      <c r="G19" s="87"/>
      <c r="H19" s="87"/>
      <c r="I19" s="87"/>
      <c r="J19" s="87"/>
      <c r="K19" s="87"/>
      <c r="L19" s="88"/>
    </row>
    <row r="20" spans="1:12" ht="26.25" customHeight="1">
      <c r="A20" s="13"/>
      <c r="B20" s="14"/>
      <c r="C20" s="15"/>
      <c r="D20" s="89" t="s">
        <v>56</v>
      </c>
      <c r="E20" s="90"/>
      <c r="F20" s="90"/>
      <c r="G20" s="90"/>
      <c r="H20" s="90"/>
      <c r="I20" s="90"/>
      <c r="J20" s="90"/>
      <c r="K20" s="90"/>
      <c r="L20" s="91"/>
    </row>
    <row r="21" spans="1:12" ht="17.25" customHeight="1" thickBot="1">
      <c r="A21" s="92" t="s">
        <v>16</v>
      </c>
      <c r="B21" s="93"/>
      <c r="C21" s="93"/>
      <c r="D21" s="93"/>
      <c r="E21" s="93"/>
      <c r="F21" s="93"/>
      <c r="G21" s="93"/>
      <c r="H21" s="94"/>
      <c r="I21" s="95" t="s">
        <v>11</v>
      </c>
      <c r="J21" s="96"/>
      <c r="K21" s="97" t="s">
        <v>57</v>
      </c>
      <c r="L21" s="98"/>
    </row>
    <row r="22" spans="1:1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ht="17.25" customHeight="1">
      <c r="A23" s="99" t="s">
        <v>14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</row>
    <row r="24" spans="1:12" ht="17.5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 ht="30" customHeight="1">
      <c r="A25" s="100" t="s">
        <v>6</v>
      </c>
      <c r="B25" s="101"/>
      <c r="C25" s="102" t="s">
        <v>7</v>
      </c>
      <c r="D25" s="103"/>
      <c r="E25" s="102" t="s">
        <v>13</v>
      </c>
      <c r="F25" s="104"/>
      <c r="G25" s="104"/>
      <c r="H25" s="104"/>
      <c r="I25" s="104"/>
      <c r="J25" s="105"/>
      <c r="K25" s="106" t="s">
        <v>12</v>
      </c>
      <c r="L25" s="107"/>
    </row>
    <row r="26" spans="1:12">
      <c r="A26" s="108">
        <v>1</v>
      </c>
      <c r="B26" s="109"/>
      <c r="C26" s="110" t="s">
        <v>29</v>
      </c>
      <c r="D26" s="111"/>
      <c r="E26" s="110" t="s">
        <v>10</v>
      </c>
      <c r="F26" s="112"/>
      <c r="G26" s="112"/>
      <c r="H26" s="112"/>
      <c r="I26" s="112"/>
      <c r="J26" s="113"/>
      <c r="K26" s="114" t="s">
        <v>58</v>
      </c>
      <c r="L26" s="115"/>
    </row>
    <row r="27" spans="1:12">
      <c r="A27" s="108"/>
      <c r="B27" s="109"/>
      <c r="C27" s="110"/>
      <c r="D27" s="111"/>
      <c r="E27" s="110"/>
      <c r="F27" s="112"/>
      <c r="G27" s="112"/>
      <c r="H27" s="112"/>
      <c r="I27" s="112"/>
      <c r="J27" s="113"/>
      <c r="K27" s="114"/>
      <c r="L27" s="115"/>
    </row>
    <row r="28" spans="1:12">
      <c r="A28" s="108"/>
      <c r="B28" s="109"/>
      <c r="C28" s="110"/>
      <c r="D28" s="111"/>
      <c r="E28" s="116"/>
      <c r="F28" s="117"/>
      <c r="G28" s="117"/>
      <c r="H28" s="117"/>
      <c r="I28" s="117"/>
      <c r="J28" s="118"/>
      <c r="K28" s="114"/>
      <c r="L28" s="115"/>
    </row>
    <row r="29" spans="1:12">
      <c r="A29" s="108"/>
      <c r="B29" s="109"/>
      <c r="C29" s="116"/>
      <c r="D29" s="119"/>
      <c r="E29" s="116"/>
      <c r="F29" s="117"/>
      <c r="G29" s="117"/>
      <c r="H29" s="117"/>
      <c r="I29" s="117"/>
      <c r="J29" s="118"/>
      <c r="K29" s="120"/>
      <c r="L29" s="121"/>
    </row>
    <row r="30" spans="1:12">
      <c r="A30" s="108"/>
      <c r="B30" s="109"/>
      <c r="C30" s="116"/>
      <c r="D30" s="119"/>
      <c r="E30" s="116"/>
      <c r="F30" s="117"/>
      <c r="G30" s="117"/>
      <c r="H30" s="117"/>
      <c r="I30" s="117"/>
      <c r="J30" s="118"/>
      <c r="K30" s="120"/>
      <c r="L30" s="121"/>
    </row>
    <row r="31" spans="1:12">
      <c r="A31" s="108"/>
      <c r="B31" s="109"/>
      <c r="C31" s="116"/>
      <c r="D31" s="119"/>
      <c r="E31" s="116"/>
      <c r="F31" s="117"/>
      <c r="G31" s="117"/>
      <c r="H31" s="117"/>
      <c r="I31" s="117"/>
      <c r="J31" s="118"/>
      <c r="K31" s="120"/>
      <c r="L31" s="121"/>
    </row>
    <row r="32" spans="1:12">
      <c r="A32" s="108"/>
      <c r="B32" s="109"/>
      <c r="C32" s="116"/>
      <c r="D32" s="119"/>
      <c r="E32" s="116"/>
      <c r="F32" s="117"/>
      <c r="G32" s="117"/>
      <c r="H32" s="117"/>
      <c r="I32" s="117"/>
      <c r="J32" s="118"/>
      <c r="K32" s="120"/>
      <c r="L32" s="121"/>
    </row>
    <row r="33" spans="1:12">
      <c r="A33" s="108"/>
      <c r="B33" s="109"/>
      <c r="C33" s="116"/>
      <c r="D33" s="119"/>
      <c r="E33" s="116"/>
      <c r="F33" s="117"/>
      <c r="G33" s="117"/>
      <c r="H33" s="117"/>
      <c r="I33" s="117"/>
      <c r="J33" s="118"/>
      <c r="K33" s="120"/>
      <c r="L33" s="121"/>
    </row>
    <row r="34" spans="1:12">
      <c r="A34" s="108"/>
      <c r="B34" s="109"/>
      <c r="C34" s="116"/>
      <c r="D34" s="119"/>
      <c r="E34" s="116"/>
      <c r="F34" s="117"/>
      <c r="G34" s="117"/>
      <c r="H34" s="117"/>
      <c r="I34" s="117"/>
      <c r="J34" s="118"/>
      <c r="K34" s="120"/>
      <c r="L34" s="121"/>
    </row>
    <row r="35" spans="1:12">
      <c r="A35" s="108"/>
      <c r="B35" s="109"/>
      <c r="C35" s="116"/>
      <c r="D35" s="119"/>
      <c r="E35" s="116"/>
      <c r="F35" s="117"/>
      <c r="G35" s="117"/>
      <c r="H35" s="117"/>
      <c r="I35" s="117"/>
      <c r="J35" s="118"/>
      <c r="K35" s="120"/>
      <c r="L35" s="121"/>
    </row>
    <row r="36" spans="1:12">
      <c r="A36" s="108"/>
      <c r="B36" s="109"/>
      <c r="C36" s="116"/>
      <c r="D36" s="119"/>
      <c r="E36" s="116"/>
      <c r="F36" s="117"/>
      <c r="G36" s="117"/>
      <c r="H36" s="117"/>
      <c r="I36" s="117"/>
      <c r="J36" s="118"/>
      <c r="K36" s="120"/>
      <c r="L36" s="121"/>
    </row>
    <row r="37" spans="1:12">
      <c r="A37" s="108"/>
      <c r="B37" s="109"/>
      <c r="C37" s="116"/>
      <c r="D37" s="119"/>
      <c r="E37" s="116"/>
      <c r="F37" s="117"/>
      <c r="G37" s="117"/>
      <c r="H37" s="117"/>
      <c r="I37" s="117"/>
      <c r="J37" s="118"/>
      <c r="K37" s="120"/>
      <c r="L37" s="121"/>
    </row>
    <row r="38" spans="1:12">
      <c r="A38" s="108"/>
      <c r="B38" s="109"/>
      <c r="C38" s="116"/>
      <c r="D38" s="119"/>
      <c r="E38" s="116"/>
      <c r="F38" s="117"/>
      <c r="G38" s="117"/>
      <c r="H38" s="117"/>
      <c r="I38" s="117"/>
      <c r="J38" s="118"/>
      <c r="K38" s="120"/>
      <c r="L38" s="121"/>
    </row>
    <row r="39" spans="1:12">
      <c r="A39" s="108"/>
      <c r="B39" s="109"/>
      <c r="C39" s="116"/>
      <c r="D39" s="119"/>
      <c r="E39" s="116"/>
      <c r="F39" s="117"/>
      <c r="G39" s="117"/>
      <c r="H39" s="117"/>
      <c r="I39" s="117"/>
      <c r="J39" s="118"/>
      <c r="K39" s="120"/>
      <c r="L39" s="121"/>
    </row>
    <row r="40" spans="1:12" ht="17.5" thickBot="1">
      <c r="A40" s="122"/>
      <c r="B40" s="123"/>
      <c r="C40" s="124"/>
      <c r="D40" s="125"/>
      <c r="E40" s="124"/>
      <c r="F40" s="126"/>
      <c r="G40" s="126"/>
      <c r="H40" s="126"/>
      <c r="I40" s="126"/>
      <c r="J40" s="127"/>
      <c r="K40" s="128"/>
      <c r="L40" s="129"/>
    </row>
    <row r="41" spans="1:12">
      <c r="A41" s="21"/>
      <c r="B41" s="21"/>
      <c r="C41" s="22"/>
      <c r="D41" s="22"/>
      <c r="E41" s="22"/>
      <c r="F41" s="22"/>
      <c r="G41" s="22"/>
      <c r="H41" s="22"/>
      <c r="I41" s="22"/>
      <c r="J41" s="22"/>
      <c r="K41" s="23"/>
      <c r="L41" s="23"/>
    </row>
    <row r="42" spans="1:12">
      <c r="A42" s="21"/>
      <c r="B42" s="21"/>
      <c r="C42" s="22"/>
      <c r="D42" s="22"/>
      <c r="E42" s="22"/>
      <c r="F42" s="22"/>
      <c r="G42" s="22"/>
      <c r="H42" s="22"/>
      <c r="I42" s="22"/>
      <c r="J42" s="22"/>
      <c r="K42" s="23"/>
      <c r="L42" s="23"/>
    </row>
    <row r="43" spans="1:12">
      <c r="A43" s="21"/>
      <c r="B43" s="21"/>
      <c r="C43" s="22"/>
      <c r="D43" s="22"/>
      <c r="E43" s="22"/>
      <c r="F43" s="22"/>
      <c r="G43" s="22"/>
      <c r="H43" s="22"/>
      <c r="I43" s="22"/>
      <c r="J43" s="22"/>
      <c r="K43" s="23"/>
      <c r="L43" s="23"/>
    </row>
    <row r="44" spans="1:12">
      <c r="A44" s="21"/>
      <c r="B44" s="21"/>
      <c r="C44" s="22"/>
      <c r="D44" s="22"/>
      <c r="E44" s="22"/>
      <c r="F44" s="22"/>
      <c r="G44" s="22"/>
      <c r="H44" s="22"/>
      <c r="I44" s="22"/>
      <c r="J44" s="22"/>
      <c r="K44" s="23"/>
      <c r="L44" s="23"/>
    </row>
    <row r="45" spans="1:1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7" spans="1:12" ht="25.5" customHeight="1"/>
  </sheetData>
  <mergeCells count="74">
    <mergeCell ref="C4:I4"/>
    <mergeCell ref="A16:L16"/>
    <mergeCell ref="A14:L14"/>
    <mergeCell ref="A15:L15"/>
    <mergeCell ref="A39:B39"/>
    <mergeCell ref="C39:D39"/>
    <mergeCell ref="E39:J39"/>
    <mergeCell ref="K39:L39"/>
    <mergeCell ref="A36:B36"/>
    <mergeCell ref="C36:D36"/>
    <mergeCell ref="E36:J36"/>
    <mergeCell ref="K36:L36"/>
    <mergeCell ref="A37:B37"/>
    <mergeCell ref="C37:D37"/>
    <mergeCell ref="E37:J37"/>
    <mergeCell ref="K37:L37"/>
    <mergeCell ref="A34:B34"/>
    <mergeCell ref="A40:B40"/>
    <mergeCell ref="C40:D40"/>
    <mergeCell ref="E40:J40"/>
    <mergeCell ref="K40:L40"/>
    <mergeCell ref="A38:B38"/>
    <mergeCell ref="C38:D38"/>
    <mergeCell ref="E38:J38"/>
    <mergeCell ref="K38:L38"/>
    <mergeCell ref="C34:D34"/>
    <mergeCell ref="E34:J34"/>
    <mergeCell ref="K34:L34"/>
    <mergeCell ref="A35:B35"/>
    <mergeCell ref="C35:D35"/>
    <mergeCell ref="E35:J35"/>
    <mergeCell ref="K35:L35"/>
    <mergeCell ref="A32:B32"/>
    <mergeCell ref="C32:D32"/>
    <mergeCell ref="E32:J32"/>
    <mergeCell ref="K32:L32"/>
    <mergeCell ref="A33:B33"/>
    <mergeCell ref="C33:D33"/>
    <mergeCell ref="E33:J33"/>
    <mergeCell ref="K33:L33"/>
    <mergeCell ref="A30:B30"/>
    <mergeCell ref="C30:D30"/>
    <mergeCell ref="E30:J30"/>
    <mergeCell ref="K30:L30"/>
    <mergeCell ref="A31:B31"/>
    <mergeCell ref="C31:D31"/>
    <mergeCell ref="E31:J31"/>
    <mergeCell ref="K31:L31"/>
    <mergeCell ref="A28:B28"/>
    <mergeCell ref="C28:D28"/>
    <mergeCell ref="E28:J28"/>
    <mergeCell ref="K28:L28"/>
    <mergeCell ref="A29:B29"/>
    <mergeCell ref="C29:D29"/>
    <mergeCell ref="E29:J29"/>
    <mergeCell ref="K29:L29"/>
    <mergeCell ref="A26:B26"/>
    <mergeCell ref="C26:D26"/>
    <mergeCell ref="E26:J26"/>
    <mergeCell ref="K26:L26"/>
    <mergeCell ref="A27:B27"/>
    <mergeCell ref="C27:D27"/>
    <mergeCell ref="E27:J27"/>
    <mergeCell ref="K27:L27"/>
    <mergeCell ref="A23:L23"/>
    <mergeCell ref="A25:B25"/>
    <mergeCell ref="C25:D25"/>
    <mergeCell ref="E25:J25"/>
    <mergeCell ref="K25:L25"/>
    <mergeCell ref="D19:L19"/>
    <mergeCell ref="D20:L20"/>
    <mergeCell ref="A21:H21"/>
    <mergeCell ref="I21:J21"/>
    <mergeCell ref="K21:L21"/>
  </mergeCells>
  <phoneticPr fontId="1" type="noConversion"/>
  <pageMargins left="0.70866141732283472" right="0.70866141732283472" top="0.35433070866141736" bottom="0.15748031496062992" header="0" footer="0"/>
  <pageSetup paperSize="9" scale="92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2</xdr:col>
                <xdr:colOff>412750</xdr:colOff>
                <xdr:row>9</xdr:row>
                <xdr:rowOff>0</xdr:rowOff>
              </from>
              <to>
                <xdr:col>8</xdr:col>
                <xdr:colOff>1143000</xdr:colOff>
                <xdr:row>12</xdr:row>
                <xdr:rowOff>127000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21"/>
  <sheetViews>
    <sheetView tabSelected="1" zoomScale="90" zoomScaleNormal="90" workbookViewId="0">
      <pane ySplit="6" topLeftCell="A7" activePane="bottomLeft" state="frozen"/>
      <selection pane="bottomLeft" activeCell="L22" sqref="L22"/>
    </sheetView>
  </sheetViews>
  <sheetFormatPr defaultRowHeight="17"/>
  <cols>
    <col min="1" max="1" width="1.6640625" customWidth="1"/>
    <col min="2" max="2" width="10.33203125" customWidth="1"/>
    <col min="3" max="4" width="15.58203125" customWidth="1"/>
    <col min="5" max="5" width="15.6640625" customWidth="1"/>
    <col min="6" max="6" width="11.5" customWidth="1"/>
    <col min="7" max="7" width="11" customWidth="1"/>
    <col min="8" max="8" width="7.58203125" customWidth="1"/>
    <col min="9" max="15" width="5.58203125" customWidth="1"/>
    <col min="16" max="16" width="7" customWidth="1"/>
    <col min="17" max="17" width="32.6640625" customWidth="1"/>
  </cols>
  <sheetData>
    <row r="1" spans="1:17" ht="6" customHeight="1">
      <c r="A1" s="149"/>
      <c r="B1" s="149"/>
      <c r="C1" s="2"/>
      <c r="D1" s="2"/>
      <c r="E1" s="2"/>
      <c r="F1" s="41"/>
      <c r="G1" s="2"/>
    </row>
    <row r="2" spans="1:17" ht="26">
      <c r="B2" s="29" t="s">
        <v>24</v>
      </c>
      <c r="C2" s="1"/>
      <c r="D2" s="1"/>
      <c r="E2" s="1"/>
      <c r="F2" s="1"/>
      <c r="G2" s="1"/>
    </row>
    <row r="3" spans="1:17" ht="3" customHeight="1" thickBot="1"/>
    <row r="4" spans="1:17" ht="16.5" customHeight="1">
      <c r="B4" s="139" t="s">
        <v>19</v>
      </c>
      <c r="C4" s="140"/>
      <c r="D4" s="140"/>
      <c r="E4" s="150" t="s">
        <v>17</v>
      </c>
      <c r="F4" s="151"/>
      <c r="G4" s="151"/>
      <c r="H4" s="152"/>
      <c r="I4" s="138" t="s">
        <v>31</v>
      </c>
      <c r="J4" s="148"/>
      <c r="K4" s="137" t="s">
        <v>32</v>
      </c>
      <c r="L4" s="138"/>
      <c r="M4" s="138"/>
      <c r="N4" s="138"/>
      <c r="O4" s="137" t="s">
        <v>30</v>
      </c>
      <c r="P4" s="138"/>
      <c r="Q4" s="132" t="s">
        <v>1</v>
      </c>
    </row>
    <row r="5" spans="1:17" ht="16.5" customHeight="1">
      <c r="B5" s="141"/>
      <c r="C5" s="142"/>
      <c r="D5" s="142"/>
      <c r="E5" s="153"/>
      <c r="F5" s="154"/>
      <c r="G5" s="154"/>
      <c r="H5" s="155"/>
      <c r="I5" s="156" t="s">
        <v>42</v>
      </c>
      <c r="J5" s="157"/>
      <c r="K5" s="158" t="s">
        <v>43</v>
      </c>
      <c r="L5" s="157"/>
      <c r="M5" s="158" t="s">
        <v>44</v>
      </c>
      <c r="N5" s="157"/>
      <c r="O5" s="158" t="s">
        <v>45</v>
      </c>
      <c r="P5" s="156"/>
      <c r="Q5" s="133"/>
    </row>
    <row r="6" spans="1:17" ht="17.5" thickBot="1">
      <c r="B6" s="143"/>
      <c r="C6" s="144"/>
      <c r="D6" s="144"/>
      <c r="E6" s="26" t="s">
        <v>18</v>
      </c>
      <c r="F6" s="26" t="s">
        <v>35</v>
      </c>
      <c r="G6" s="26" t="s">
        <v>27</v>
      </c>
      <c r="H6" s="52" t="s">
        <v>25</v>
      </c>
      <c r="I6" s="28" t="s">
        <v>20</v>
      </c>
      <c r="J6" s="27" t="s">
        <v>21</v>
      </c>
      <c r="K6" s="28" t="s">
        <v>20</v>
      </c>
      <c r="L6" s="28" t="s">
        <v>21</v>
      </c>
      <c r="M6" s="28" t="s">
        <v>20</v>
      </c>
      <c r="N6" s="28" t="s">
        <v>21</v>
      </c>
      <c r="O6" s="27" t="s">
        <v>20</v>
      </c>
      <c r="P6" s="30" t="s">
        <v>21</v>
      </c>
      <c r="Q6" s="134"/>
    </row>
    <row r="7" spans="1:17" ht="22" customHeight="1">
      <c r="B7" s="145" t="s">
        <v>9</v>
      </c>
      <c r="C7" s="146"/>
      <c r="D7" s="147"/>
      <c r="E7" s="42" t="s">
        <v>29</v>
      </c>
      <c r="F7" s="43" t="s">
        <v>36</v>
      </c>
      <c r="G7" s="44" t="s">
        <v>28</v>
      </c>
      <c r="H7" s="53">
        <f>SUM(I7,K7,M7,O7)</f>
        <v>2.6</v>
      </c>
      <c r="I7" s="32">
        <v>0.65</v>
      </c>
      <c r="J7" s="31"/>
      <c r="K7" s="32">
        <v>0.65</v>
      </c>
      <c r="L7" s="31"/>
      <c r="M7" s="32">
        <v>0.65</v>
      </c>
      <c r="N7" s="31"/>
      <c r="O7" s="32">
        <v>0.65</v>
      </c>
      <c r="P7" s="33"/>
      <c r="Q7" s="46"/>
    </row>
    <row r="8" spans="1:17" ht="22" customHeight="1">
      <c r="B8" s="54" t="s">
        <v>2</v>
      </c>
      <c r="C8" s="135" t="s">
        <v>4</v>
      </c>
      <c r="D8" s="136"/>
      <c r="E8" s="64" t="s">
        <v>93</v>
      </c>
      <c r="F8" s="82" t="s">
        <v>37</v>
      </c>
      <c r="G8" s="63" t="s">
        <v>94</v>
      </c>
      <c r="H8" s="53">
        <f t="shared" ref="H8:H18" si="0">SUM(I8,K8,M8,O8)</f>
        <v>0.75</v>
      </c>
      <c r="I8" s="50">
        <v>0.2</v>
      </c>
      <c r="J8" s="35"/>
      <c r="K8" s="34">
        <v>0.15</v>
      </c>
      <c r="L8" s="35"/>
      <c r="M8" s="34">
        <v>0.25</v>
      </c>
      <c r="N8" s="36"/>
      <c r="O8" s="37">
        <v>0.15</v>
      </c>
      <c r="P8" s="36"/>
      <c r="Q8" s="47"/>
    </row>
    <row r="9" spans="1:17" ht="32.5" customHeight="1">
      <c r="B9" s="168" t="s">
        <v>3</v>
      </c>
      <c r="C9" s="135" t="s">
        <v>33</v>
      </c>
      <c r="D9" s="136"/>
      <c r="E9" s="64" t="s">
        <v>59</v>
      </c>
      <c r="F9" s="45" t="s">
        <v>60</v>
      </c>
      <c r="G9" s="63" t="s">
        <v>61</v>
      </c>
      <c r="H9" s="53">
        <f t="shared" si="0"/>
        <v>0.25</v>
      </c>
      <c r="I9" s="50">
        <v>0.25</v>
      </c>
      <c r="J9" s="35"/>
      <c r="K9" s="34"/>
      <c r="L9" s="35"/>
      <c r="M9" s="34"/>
      <c r="N9" s="36"/>
      <c r="O9" s="37"/>
      <c r="P9" s="36"/>
      <c r="Q9" s="47"/>
    </row>
    <row r="10" spans="1:17" ht="22" customHeight="1">
      <c r="B10" s="169"/>
      <c r="C10" s="135" t="s">
        <v>22</v>
      </c>
      <c r="D10" s="136"/>
      <c r="E10" s="64" t="s">
        <v>71</v>
      </c>
      <c r="F10" s="82" t="s">
        <v>72</v>
      </c>
      <c r="G10" s="63" t="s">
        <v>73</v>
      </c>
      <c r="H10" s="53">
        <f t="shared" si="0"/>
        <v>1.5</v>
      </c>
      <c r="I10" s="50">
        <v>0.25</v>
      </c>
      <c r="J10" s="35"/>
      <c r="K10" s="34">
        <v>0.25</v>
      </c>
      <c r="L10" s="35"/>
      <c r="M10" s="62">
        <v>0.5</v>
      </c>
      <c r="N10" s="36"/>
      <c r="O10" s="37">
        <v>0.5</v>
      </c>
      <c r="P10" s="36"/>
      <c r="Q10" s="48" t="s">
        <v>54</v>
      </c>
    </row>
    <row r="11" spans="1:17" ht="28" customHeight="1">
      <c r="B11" s="169"/>
      <c r="C11" s="164" t="s">
        <v>51</v>
      </c>
      <c r="D11" s="61" t="s">
        <v>34</v>
      </c>
      <c r="E11" s="64" t="s">
        <v>62</v>
      </c>
      <c r="F11" s="45" t="s">
        <v>63</v>
      </c>
      <c r="G11" s="63" t="s">
        <v>64</v>
      </c>
      <c r="H11" s="53">
        <f t="shared" si="0"/>
        <v>0.3</v>
      </c>
      <c r="I11" s="50">
        <v>0.3</v>
      </c>
      <c r="J11" s="35"/>
      <c r="K11" s="34"/>
      <c r="L11" s="35"/>
      <c r="M11" s="34"/>
      <c r="N11" s="36"/>
      <c r="O11" s="37"/>
      <c r="P11" s="36"/>
      <c r="Q11" s="48"/>
    </row>
    <row r="12" spans="1:17" ht="33.5" customHeight="1">
      <c r="B12" s="169"/>
      <c r="C12" s="170"/>
      <c r="D12" s="61" t="s">
        <v>48</v>
      </c>
      <c r="E12" s="64" t="s">
        <v>65</v>
      </c>
      <c r="F12" s="45" t="s">
        <v>63</v>
      </c>
      <c r="G12" s="63" t="s">
        <v>66</v>
      </c>
      <c r="H12" s="53">
        <f t="shared" si="0"/>
        <v>3.2</v>
      </c>
      <c r="I12" s="81">
        <v>0.5</v>
      </c>
      <c r="J12" s="78"/>
      <c r="K12" s="77">
        <v>1</v>
      </c>
      <c r="L12" s="78"/>
      <c r="M12" s="77">
        <v>1</v>
      </c>
      <c r="N12" s="79"/>
      <c r="O12" s="80">
        <v>0.7</v>
      </c>
      <c r="P12" s="79"/>
      <c r="Q12" s="48" t="s">
        <v>52</v>
      </c>
    </row>
    <row r="13" spans="1:17" ht="22" customHeight="1">
      <c r="B13" s="169"/>
      <c r="C13" s="164" t="s">
        <v>46</v>
      </c>
      <c r="D13" s="165"/>
      <c r="E13" s="64" t="s">
        <v>74</v>
      </c>
      <c r="F13" s="82" t="s">
        <v>72</v>
      </c>
      <c r="G13" s="63" t="s">
        <v>66</v>
      </c>
      <c r="H13" s="53">
        <f t="shared" si="0"/>
        <v>1.5</v>
      </c>
      <c r="I13" s="50">
        <v>0.25</v>
      </c>
      <c r="J13" s="35"/>
      <c r="K13" s="34">
        <v>0.5</v>
      </c>
      <c r="L13" s="35"/>
      <c r="M13" s="34">
        <v>0.5</v>
      </c>
      <c r="N13" s="36"/>
      <c r="O13" s="37">
        <v>0.25</v>
      </c>
      <c r="P13" s="36"/>
      <c r="Q13" s="48" t="s">
        <v>53</v>
      </c>
    </row>
    <row r="14" spans="1:17" ht="22" customHeight="1">
      <c r="B14" s="169"/>
      <c r="C14" s="162" t="s">
        <v>5</v>
      </c>
      <c r="D14" s="24" t="s">
        <v>34</v>
      </c>
      <c r="E14" s="64" t="s">
        <v>67</v>
      </c>
      <c r="F14" s="82" t="s">
        <v>68</v>
      </c>
      <c r="G14" s="63" t="s">
        <v>69</v>
      </c>
      <c r="H14" s="53">
        <f t="shared" si="0"/>
        <v>0.25</v>
      </c>
      <c r="I14" s="50">
        <v>0.25</v>
      </c>
      <c r="J14" s="35"/>
      <c r="K14" s="34"/>
      <c r="L14" s="35"/>
      <c r="M14" s="34"/>
      <c r="N14" s="36"/>
      <c r="O14" s="37"/>
      <c r="P14" s="36"/>
      <c r="Q14" s="48"/>
    </row>
    <row r="15" spans="1:17" ht="22" customHeight="1">
      <c r="B15" s="169"/>
      <c r="C15" s="163"/>
      <c r="D15" s="25" t="s">
        <v>38</v>
      </c>
      <c r="E15" s="64" t="s">
        <v>70</v>
      </c>
      <c r="F15" s="82" t="s">
        <v>68</v>
      </c>
      <c r="G15" s="63" t="s">
        <v>66</v>
      </c>
      <c r="H15" s="53">
        <f t="shared" si="0"/>
        <v>2.25</v>
      </c>
      <c r="I15" s="50">
        <v>0.5</v>
      </c>
      <c r="J15" s="35"/>
      <c r="K15" s="34">
        <v>0.5</v>
      </c>
      <c r="L15" s="35"/>
      <c r="M15" s="34">
        <v>0.5</v>
      </c>
      <c r="N15" s="35"/>
      <c r="O15" s="37">
        <v>0.75</v>
      </c>
      <c r="P15" s="36"/>
      <c r="Q15" s="48"/>
    </row>
    <row r="16" spans="1:17" ht="22" customHeight="1">
      <c r="B16" s="169"/>
      <c r="C16" s="135" t="s">
        <v>23</v>
      </c>
      <c r="D16" s="136"/>
      <c r="E16" s="64" t="s">
        <v>75</v>
      </c>
      <c r="F16" s="82" t="s">
        <v>72</v>
      </c>
      <c r="G16" s="63" t="s">
        <v>76</v>
      </c>
      <c r="H16" s="53">
        <f t="shared" si="0"/>
        <v>0.5</v>
      </c>
      <c r="I16" s="50"/>
      <c r="J16" s="35"/>
      <c r="K16" s="34"/>
      <c r="L16" s="35"/>
      <c r="M16" s="34">
        <v>0.25</v>
      </c>
      <c r="N16" s="36"/>
      <c r="O16" s="37">
        <v>0.25</v>
      </c>
      <c r="P16" s="36"/>
      <c r="Q16" s="48"/>
    </row>
    <row r="17" spans="2:17" ht="22" customHeight="1">
      <c r="B17" s="57" t="s">
        <v>26</v>
      </c>
      <c r="C17" s="166" t="s">
        <v>39</v>
      </c>
      <c r="D17" s="167"/>
      <c r="E17" s="58" t="s">
        <v>47</v>
      </c>
      <c r="F17" s="59" t="s">
        <v>47</v>
      </c>
      <c r="G17" s="60" t="s">
        <v>47</v>
      </c>
      <c r="H17" s="53">
        <f t="shared" si="0"/>
        <v>0</v>
      </c>
      <c r="I17" s="50"/>
      <c r="J17" s="35"/>
      <c r="K17" s="34"/>
      <c r="L17" s="35"/>
      <c r="M17" s="34"/>
      <c r="N17" s="36"/>
      <c r="O17" s="37"/>
      <c r="P17" s="38"/>
      <c r="Q17" s="48" t="s">
        <v>55</v>
      </c>
    </row>
    <row r="18" spans="2:17" ht="22" customHeight="1" thickBot="1">
      <c r="B18" s="55" t="s">
        <v>40</v>
      </c>
      <c r="C18" s="171" t="s">
        <v>41</v>
      </c>
      <c r="D18" s="172"/>
      <c r="E18" s="74" t="s">
        <v>74</v>
      </c>
      <c r="F18" s="82" t="s">
        <v>72</v>
      </c>
      <c r="G18" s="73" t="s">
        <v>66</v>
      </c>
      <c r="H18" s="53">
        <f t="shared" si="0"/>
        <v>0.5</v>
      </c>
      <c r="I18" s="50"/>
      <c r="J18" s="35"/>
      <c r="K18" s="34"/>
      <c r="L18" s="35"/>
      <c r="M18" s="34">
        <v>0.25</v>
      </c>
      <c r="N18" s="36"/>
      <c r="O18" s="37">
        <v>0.25</v>
      </c>
      <c r="P18" s="38"/>
      <c r="Q18" s="48"/>
    </row>
    <row r="19" spans="2:17" ht="17.5" thickBot="1">
      <c r="B19" s="159" t="s">
        <v>0</v>
      </c>
      <c r="C19" s="160"/>
      <c r="D19" s="160"/>
      <c r="E19" s="160"/>
      <c r="F19" s="160"/>
      <c r="G19" s="161"/>
      <c r="H19" s="56">
        <f t="shared" ref="H19:P19" si="1">SUM(H7:H18)</f>
        <v>13.6</v>
      </c>
      <c r="I19" s="51">
        <f t="shared" si="1"/>
        <v>3.1500000000000004</v>
      </c>
      <c r="J19" s="39">
        <f t="shared" si="1"/>
        <v>0</v>
      </c>
      <c r="K19" s="39">
        <f t="shared" si="1"/>
        <v>3.05</v>
      </c>
      <c r="L19" s="39">
        <f t="shared" si="1"/>
        <v>0</v>
      </c>
      <c r="M19" s="39">
        <f t="shared" si="1"/>
        <v>3.9</v>
      </c>
      <c r="N19" s="39">
        <f t="shared" si="1"/>
        <v>0</v>
      </c>
      <c r="O19" s="39">
        <f t="shared" si="1"/>
        <v>3.5</v>
      </c>
      <c r="P19" s="40">
        <f t="shared" si="1"/>
        <v>0</v>
      </c>
      <c r="Q19" s="49"/>
    </row>
    <row r="21" spans="2:17">
      <c r="G21" s="75"/>
      <c r="H21" s="76"/>
    </row>
  </sheetData>
  <mergeCells count="23">
    <mergeCell ref="B19:G19"/>
    <mergeCell ref="C10:D10"/>
    <mergeCell ref="C14:C15"/>
    <mergeCell ref="C13:D13"/>
    <mergeCell ref="C17:D17"/>
    <mergeCell ref="B9:B16"/>
    <mergeCell ref="C9:D9"/>
    <mergeCell ref="C16:D16"/>
    <mergeCell ref="C11:C12"/>
    <mergeCell ref="C18:D18"/>
    <mergeCell ref="A1:B1"/>
    <mergeCell ref="E4:H5"/>
    <mergeCell ref="I5:J5"/>
    <mergeCell ref="O5:P5"/>
    <mergeCell ref="K5:L5"/>
    <mergeCell ref="M5:N5"/>
    <mergeCell ref="Q4:Q6"/>
    <mergeCell ref="C8:D8"/>
    <mergeCell ref="K4:N4"/>
    <mergeCell ref="B4:D6"/>
    <mergeCell ref="O4:P4"/>
    <mergeCell ref="B7:D7"/>
    <mergeCell ref="I4:J4"/>
  </mergeCells>
  <phoneticPr fontId="1" type="noConversion"/>
  <pageMargins left="0.25" right="0.25" top="0.75" bottom="0.75" header="0.3" footer="0.3"/>
  <pageSetup paperSize="9" scale="75" orientation="landscape" r:id="rId1"/>
  <ignoredErrors>
    <ignoredError sqref="O19:P19 I19:K1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C552-665B-444F-8ED6-858B55B4355B}">
  <dimension ref="B1:G14"/>
  <sheetViews>
    <sheetView workbookViewId="0">
      <selection activeCell="I15" sqref="I15"/>
    </sheetView>
  </sheetViews>
  <sheetFormatPr defaultRowHeight="17"/>
  <cols>
    <col min="3" max="3" width="13.1640625" customWidth="1"/>
    <col min="4" max="4" width="14.33203125" customWidth="1"/>
    <col min="5" max="5" width="12.83203125" customWidth="1"/>
    <col min="6" max="6" width="13.08203125" customWidth="1"/>
    <col min="7" max="7" width="25.33203125" customWidth="1"/>
  </cols>
  <sheetData>
    <row r="1" spans="2:7" ht="21.5" thickBot="1">
      <c r="B1" s="84" t="s">
        <v>77</v>
      </c>
      <c r="C1" s="84"/>
      <c r="D1" s="84"/>
      <c r="E1" s="84"/>
      <c r="F1" s="84"/>
      <c r="G1" s="84"/>
    </row>
    <row r="2" spans="2:7">
      <c r="B2" s="178" t="s">
        <v>19</v>
      </c>
      <c r="C2" s="174"/>
      <c r="D2" s="174"/>
      <c r="E2" s="174" t="s">
        <v>17</v>
      </c>
      <c r="F2" s="174"/>
      <c r="G2" s="175"/>
    </row>
    <row r="3" spans="2:7">
      <c r="B3" s="179"/>
      <c r="C3" s="176"/>
      <c r="D3" s="176"/>
      <c r="E3" s="176"/>
      <c r="F3" s="176"/>
      <c r="G3" s="177"/>
    </row>
    <row r="4" spans="2:7">
      <c r="B4" s="179"/>
      <c r="C4" s="176"/>
      <c r="D4" s="176"/>
      <c r="E4" s="83" t="s">
        <v>18</v>
      </c>
      <c r="F4" s="83" t="s">
        <v>27</v>
      </c>
      <c r="G4" s="72" t="s">
        <v>79</v>
      </c>
    </row>
    <row r="5" spans="2:7">
      <c r="B5" s="180" t="s">
        <v>9</v>
      </c>
      <c r="C5" s="181"/>
      <c r="D5" s="181"/>
      <c r="E5" s="70" t="s">
        <v>29</v>
      </c>
      <c r="F5" s="70" t="s">
        <v>28</v>
      </c>
      <c r="G5" s="66" t="s">
        <v>92</v>
      </c>
    </row>
    <row r="6" spans="2:7">
      <c r="B6" s="68" t="s">
        <v>2</v>
      </c>
      <c r="C6" s="181" t="s">
        <v>2</v>
      </c>
      <c r="D6" s="181"/>
      <c r="E6" s="64" t="s">
        <v>93</v>
      </c>
      <c r="F6" s="63" t="s">
        <v>94</v>
      </c>
      <c r="G6" s="85" t="s">
        <v>95</v>
      </c>
    </row>
    <row r="7" spans="2:7">
      <c r="B7" s="180" t="s">
        <v>3</v>
      </c>
      <c r="C7" s="181" t="s">
        <v>80</v>
      </c>
      <c r="D7" s="181"/>
      <c r="E7" s="70" t="s">
        <v>81</v>
      </c>
      <c r="F7" s="70" t="s">
        <v>82</v>
      </c>
      <c r="G7" s="66" t="s">
        <v>84</v>
      </c>
    </row>
    <row r="8" spans="2:7">
      <c r="B8" s="180"/>
      <c r="C8" s="181" t="s">
        <v>22</v>
      </c>
      <c r="D8" s="181"/>
      <c r="E8" s="70" t="s">
        <v>71</v>
      </c>
      <c r="F8" s="70" t="s">
        <v>73</v>
      </c>
      <c r="G8" s="66" t="s">
        <v>85</v>
      </c>
    </row>
    <row r="9" spans="2:7">
      <c r="B9" s="180"/>
      <c r="C9" s="181" t="s">
        <v>51</v>
      </c>
      <c r="D9" s="69" t="s">
        <v>34</v>
      </c>
      <c r="E9" s="70" t="s">
        <v>62</v>
      </c>
      <c r="F9" s="70" t="s">
        <v>64</v>
      </c>
      <c r="G9" s="66" t="s">
        <v>86</v>
      </c>
    </row>
    <row r="10" spans="2:7">
      <c r="B10" s="180"/>
      <c r="C10" s="181"/>
      <c r="D10" s="69" t="s">
        <v>48</v>
      </c>
      <c r="E10" s="70" t="s">
        <v>65</v>
      </c>
      <c r="F10" s="70" t="s">
        <v>66</v>
      </c>
      <c r="G10" s="66" t="s">
        <v>87</v>
      </c>
    </row>
    <row r="11" spans="2:7">
      <c r="B11" s="180"/>
      <c r="C11" s="181" t="s">
        <v>78</v>
      </c>
      <c r="D11" s="181"/>
      <c r="E11" s="70" t="s">
        <v>74</v>
      </c>
      <c r="F11" s="70" t="s">
        <v>66</v>
      </c>
      <c r="G11" s="66" t="s">
        <v>88</v>
      </c>
    </row>
    <row r="12" spans="2:7">
      <c r="B12" s="180"/>
      <c r="C12" s="181" t="s">
        <v>5</v>
      </c>
      <c r="D12" s="71" t="s">
        <v>34</v>
      </c>
      <c r="E12" s="70" t="s">
        <v>67</v>
      </c>
      <c r="F12" s="70" t="s">
        <v>69</v>
      </c>
      <c r="G12" s="66" t="s">
        <v>89</v>
      </c>
    </row>
    <row r="13" spans="2:7">
      <c r="B13" s="180"/>
      <c r="C13" s="181"/>
      <c r="D13" s="71" t="s">
        <v>83</v>
      </c>
      <c r="E13" s="70" t="s">
        <v>70</v>
      </c>
      <c r="F13" s="70" t="s">
        <v>66</v>
      </c>
      <c r="G13" s="66" t="s">
        <v>90</v>
      </c>
    </row>
    <row r="14" spans="2:7" ht="17.5" thickBot="1">
      <c r="B14" s="182"/>
      <c r="C14" s="173" t="s">
        <v>23</v>
      </c>
      <c r="D14" s="173"/>
      <c r="E14" s="67" t="s">
        <v>75</v>
      </c>
      <c r="F14" s="67" t="s">
        <v>76</v>
      </c>
      <c r="G14" s="65" t="s">
        <v>91</v>
      </c>
    </row>
  </sheetData>
  <mergeCells count="11">
    <mergeCell ref="C14:D14"/>
    <mergeCell ref="E2:G3"/>
    <mergeCell ref="B2:D4"/>
    <mergeCell ref="B5:D5"/>
    <mergeCell ref="C6:D6"/>
    <mergeCell ref="B7:B14"/>
    <mergeCell ref="C7:D7"/>
    <mergeCell ref="C8:D8"/>
    <mergeCell ref="C9:C10"/>
    <mergeCell ref="C11:D11"/>
    <mergeCell ref="C12:C13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B7EE8C989F4014D8F473F11EA235336" ma:contentTypeVersion="1" ma:contentTypeDescription="새 문서를 만듭니다." ma:contentTypeScope="" ma:versionID="da507e76d2c73bb96d59657c92b25dbb">
  <xsd:schema xmlns:xsd="http://www.w3.org/2001/XMLSchema" xmlns:xs="http://www.w3.org/2001/XMLSchema" xmlns:p="http://schemas.microsoft.com/office/2006/metadata/properties" xmlns:ns2="2aae6fcb-43e3-4396-89be-baa0995eb0b9" targetNamespace="http://schemas.microsoft.com/office/2006/metadata/properties" ma:root="true" ma:fieldsID="aa1e80f6703332eeed5d82846e061462" ns2:_="">
    <xsd:import namespace="2aae6fcb-43e3-4396-89be-baa0995eb0b9"/>
    <xsd:element name="properties">
      <xsd:complexType>
        <xsd:sequence>
          <xsd:element name="documentManagement">
            <xsd:complexType>
              <xsd:all>
                <xsd:element ref="ns2:_xbb38__xc11c__xc124__xba8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e6fcb-43e3-4396-89be-baa0995eb0b9" elementFormDefault="qualified">
    <xsd:import namespace="http://schemas.microsoft.com/office/2006/documentManagement/types"/>
    <xsd:import namespace="http://schemas.microsoft.com/office/infopath/2007/PartnerControls"/>
    <xsd:element name="_xbb38__xc11c__xc124__xba85_" ma:index="8" nillable="true" ma:displayName="문서설명" ma:internalName="_xbb38__xc11c__xc124__xba85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_xbb38__xc11c__xc124__xba85_ xmlns="2aae6fcb-43e3-4396-89be-baa0995eb0b9">사업수행계획서_별첨_인력투입계획 표준산출물</_xbb38__xc11c__xc124__xba85_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334115-8826-4FC9-B067-AEB3AA7D4E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ae6fcb-43e3-4396-89be-baa0995eb0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3518B5-5B29-4A27-9E25-122A80A21A0D}">
  <ds:schemaRefs>
    <ds:schemaRef ds:uri="http://purl.org/dc/elements/1.1/"/>
    <ds:schemaRef ds:uri="http://schemas.microsoft.com/office/2006/documentManagement/types"/>
    <ds:schemaRef ds:uri="2aae6fcb-43e3-4396-89be-baa0995eb0b9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5D63CFE-85DF-485F-BFA6-A15F0D3221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표지</vt:lpstr>
      <vt:lpstr>계획_실적</vt:lpstr>
      <vt:lpstr>Sheet1</vt:lpstr>
      <vt:lpstr>계획_실적!Print_Area</vt:lpstr>
      <vt:lpstr>표지!Print_Area</vt:lpstr>
    </vt:vector>
  </TitlesOfParts>
  <Company>(주)코비젼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PM22_사업수행계획서_#3별첨_인력투입계획</dc:title>
  <dc:subject>[고객사] Smart2</dc:subject>
  <dc:creator>솔루션사업팀</dc:creator>
  <cp:keywords>표준Template 2.0</cp:keywords>
  <dc:description>[ 소유권 정보 ]_x000d_
본 프로젝트 문서는 코비젼이 [고객사]에 제출하는 프로젝트 산출물의 하나이므로, 이 문서의 소유권은 원칙적으로 [고객사]에 있습니다. 그러나 문서의 형태 및 내용구성은 코비젼의 지적 자산이므로 [고객사] 에서 이 문서를 다른 용도로 임의로 변경하여 사용할 수 없음을 주지하시기 바랍니다.</dc:description>
  <cp:lastModifiedBy>강민석</cp:lastModifiedBy>
  <cp:lastPrinted>2024-04-04T02:14:37Z</cp:lastPrinted>
  <dcterms:created xsi:type="dcterms:W3CDTF">2012-09-04T11:23:15Z</dcterms:created>
  <dcterms:modified xsi:type="dcterms:W3CDTF">2026-03-10T04:30:03Z</dcterms:modified>
  <cp:category>관리산출물</cp:category>
  <cp:version>표준Template 2.0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0x0101003B7EE8C989F4014D8F473F11EA235336</vt:lpwstr>
  </property>
</Properties>
</file>