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2"/>
  <workbookPr filterPrivacy="1" codeName="현재_통합_문서"/>
  <xr:revisionPtr revIDLastSave="0" documentId="13_ncr:1_{B64EDC98-A816-446E-9D57-50D91C8AFB21}" xr6:coauthVersionLast="36" xr6:coauthVersionMax="47" xr10:uidLastSave="{00000000-0000-0000-0000-000000000000}"/>
  <bookViews>
    <workbookView xWindow="-110" yWindow="-110" windowWidth="23250" windowHeight="12570" activeTab="1" xr2:uid="{00000000-000D-0000-FFFF-FFFF00000000}"/>
  </bookViews>
  <sheets>
    <sheet name="표지" sheetId="3" r:id="rId1"/>
    <sheet name="WBS" sheetId="1" r:id="rId2"/>
  </sheets>
  <definedNames>
    <definedName name="aaa">#REF!</definedName>
    <definedName name="aabb">#REF!</definedName>
    <definedName name="bbb">#REF!</definedName>
    <definedName name="cause">#REF!</definedName>
    <definedName name="Comments">#REF!</definedName>
    <definedName name="DataType">#REF!</definedName>
    <definedName name="Domain">#REF!</definedName>
    <definedName name="Ltst_TestLog">"'Test log'"</definedName>
    <definedName name="MODEL">#REF!</definedName>
    <definedName name="NullOption">#REF!</definedName>
    <definedName name="RANGE">#REF!</definedName>
    <definedName name="SERVER">#REF!</definedName>
    <definedName name="Severity">#REF!</definedName>
    <definedName name="SM">#REF!</definedName>
    <definedName name="State_of_Origin">#REF!</definedName>
    <definedName name="SVR">#REF!</definedName>
    <definedName name="SVRAG">#REF!</definedName>
    <definedName name="SVRDESC">#REF!</definedName>
    <definedName name="ㅁㄴㅇㄹ">#REF!</definedName>
    <definedName name="변경여부">#REF!</definedName>
    <definedName name="서비스">#REF!</definedName>
    <definedName name="속성유형">#REF!</definedName>
    <definedName name="이전모델">#REF!</definedName>
    <definedName name="중분류">#REF!</definedName>
    <definedName name="추가변경여부">#REF!</definedName>
    <definedName name="카드관리부서">#REF!</definedName>
    <definedName name="카드캐피탈구분">#REF!</definedName>
    <definedName name="캐피탈관리부서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7" i="1" s="1"/>
  <c r="E6" i="1" l="1"/>
  <c r="F6" i="1" l="1"/>
  <c r="G6" i="1" s="1"/>
  <c r="E7" i="1"/>
  <c r="G7" i="1" l="1"/>
  <c r="H6" i="1"/>
  <c r="F7" i="1"/>
  <c r="I6" i="1" l="1"/>
  <c r="H7" i="1"/>
  <c r="J6" i="1" l="1"/>
  <c r="I7" i="1"/>
  <c r="K6" i="1" l="1"/>
  <c r="J7" i="1"/>
  <c r="K7" i="1" l="1"/>
  <c r="L6" i="1"/>
  <c r="L7" i="1" l="1"/>
  <c r="M6" i="1"/>
  <c r="M7" i="1" l="1"/>
  <c r="N6" i="1"/>
  <c r="O6" i="1" s="1"/>
  <c r="N7" i="1" l="1"/>
  <c r="O7" i="1" l="1"/>
  <c r="P6" i="1" l="1"/>
  <c r="Q6" i="1" s="1"/>
  <c r="Q7" i="1" l="1"/>
  <c r="R6" i="1"/>
  <c r="P7" i="1"/>
  <c r="R7" i="1" l="1"/>
  <c r="S6" i="1"/>
  <c r="S7" i="1" l="1"/>
  <c r="T6" i="1"/>
  <c r="T7" i="1" l="1"/>
  <c r="U6" i="1"/>
  <c r="V6" i="1" l="1"/>
  <c r="W6" i="1" s="1"/>
  <c r="X6" i="1" s="1"/>
  <c r="Y6" i="1" s="1"/>
  <c r="U7" i="1"/>
  <c r="W7" i="1" l="1"/>
  <c r="V7" i="1"/>
  <c r="X7" i="1" l="1"/>
  <c r="Y7" i="1"/>
</calcChain>
</file>

<file path=xl/sharedStrings.xml><?xml version="1.0" encoding="utf-8"?>
<sst xmlns="http://schemas.openxmlformats.org/spreadsheetml/2006/main" count="325" uniqueCount="92">
  <si>
    <t>항목</t>
    <phoneticPr fontId="6" type="noConversion"/>
  </si>
  <si>
    <t>프로젝트 관리</t>
    <phoneticPr fontId="6" type="noConversion"/>
  </si>
  <si>
    <t>분석 및 설계</t>
    <phoneticPr fontId="6" type="noConversion"/>
  </si>
  <si>
    <t>구현</t>
    <phoneticPr fontId="6" type="noConversion"/>
  </si>
  <si>
    <t>단위테스트</t>
    <phoneticPr fontId="6" type="noConversion"/>
  </si>
  <si>
    <t>배포 및 이행</t>
    <phoneticPr fontId="6" type="noConversion"/>
  </si>
  <si>
    <t>운영환경 구축 (App.포함)</t>
    <phoneticPr fontId="6" type="noConversion"/>
  </si>
  <si>
    <t>시스템 테스트</t>
    <phoneticPr fontId="6" type="noConversion"/>
  </si>
  <si>
    <t>통합테스트</t>
    <phoneticPr fontId="6" type="noConversion"/>
  </si>
  <si>
    <t>사용자 교육</t>
    <phoneticPr fontId="6" type="noConversion"/>
  </si>
  <si>
    <t>안정화</t>
    <phoneticPr fontId="6" type="noConversion"/>
  </si>
  <si>
    <t>오픈</t>
    <phoneticPr fontId="6" type="noConversion"/>
  </si>
  <si>
    <t>산출물 현행화</t>
    <phoneticPr fontId="6" type="noConversion"/>
  </si>
  <si>
    <t>인수인계</t>
    <phoneticPr fontId="6" type="noConversion"/>
  </si>
  <si>
    <t>안정화 (오류조치)</t>
    <phoneticPr fontId="6" type="noConversion"/>
  </si>
  <si>
    <t>착수보고</t>
  </si>
  <si>
    <t>검수요청</t>
  </si>
  <si>
    <t>완료보고</t>
  </si>
  <si>
    <t>개발</t>
    <phoneticPr fontId="5" type="noConversion"/>
  </si>
  <si>
    <r>
      <t>Version :</t>
    </r>
    <r>
      <rPr>
        <b/>
        <sz val="10"/>
        <rFont val="맑은 고딕"/>
        <family val="3"/>
        <charset val="129"/>
        <scheme val="minor"/>
      </rPr>
      <t xml:space="preserve"> 1.0</t>
    </r>
    <phoneticPr fontId="6" type="noConversion"/>
  </si>
  <si>
    <t>제 • 개 정 이 력</t>
    <phoneticPr fontId="6" type="noConversion"/>
  </si>
  <si>
    <t>개정번호</t>
    <phoneticPr fontId="6" type="noConversion"/>
  </si>
  <si>
    <t>작성자</t>
    <phoneticPr fontId="6" type="noConversion"/>
  </si>
  <si>
    <t>개정 내용 요약</t>
    <phoneticPr fontId="6" type="noConversion"/>
  </si>
  <si>
    <t>시행일자</t>
    <phoneticPr fontId="6" type="noConversion"/>
  </si>
  <si>
    <t>최초작성</t>
    <phoneticPr fontId="6" type="noConversion"/>
  </si>
  <si>
    <t>WBS</t>
    <phoneticPr fontId="6" type="noConversion"/>
  </si>
  <si>
    <t>그룹웨어 시스템 재구축</t>
    <phoneticPr fontId="6" type="noConversion"/>
  </si>
  <si>
    <t>Version 0.1</t>
    <phoneticPr fontId="6" type="noConversion"/>
  </si>
  <si>
    <t>강민석</t>
    <phoneticPr fontId="5" type="noConversion"/>
  </si>
  <si>
    <t>중간보고</t>
    <phoneticPr fontId="5" type="noConversion"/>
  </si>
  <si>
    <t>통합테스트 시나리오작성</t>
    <phoneticPr fontId="6" type="noConversion"/>
  </si>
  <si>
    <t>통합테스트 결과조치</t>
    <phoneticPr fontId="6" type="noConversion"/>
  </si>
  <si>
    <t>시스템 이행준비</t>
    <phoneticPr fontId="6" type="noConversion"/>
  </si>
  <si>
    <t>W1</t>
    <phoneticPr fontId="5" type="noConversion"/>
  </si>
  <si>
    <t>그룹웨어 시스템 고도화</t>
    <phoneticPr fontId="6" type="noConversion"/>
  </si>
  <si>
    <t>3월</t>
    <phoneticPr fontId="5" type="noConversion"/>
  </si>
  <si>
    <t>4월</t>
    <phoneticPr fontId="6" type="noConversion"/>
  </si>
  <si>
    <t>5월</t>
    <phoneticPr fontId="5" type="noConversion"/>
  </si>
  <si>
    <t>6월</t>
    <phoneticPr fontId="5" type="noConversion"/>
  </si>
  <si>
    <t>7월</t>
    <phoneticPr fontId="5" type="noConversion"/>
  </si>
  <si>
    <t>W13</t>
  </si>
  <si>
    <t>W14</t>
  </si>
  <si>
    <t>W15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</si>
  <si>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</si>
  <si>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</si>
  <si>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</si>
  <si>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</si>
  <si>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</si>
  <si>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</si>
  <si>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</si>
  <si>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</si>
  <si>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</si>
  <si>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</si>
  <si>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</si>
  <si>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W16</t>
  </si>
  <si>
    <t>W17</t>
  </si>
  <si>
    <t>W18</t>
  </si>
  <si>
    <t>W19</t>
  </si>
  <si>
    <t>W20</t>
  </si>
  <si>
    <t>문서번호: 122. 그룹웨어 시스템 구축_WBS</t>
    <phoneticPr fontId="6" type="noConversion"/>
  </si>
  <si>
    <t>시작일 : 2026-03-02</t>
    <phoneticPr fontId="6" type="noConversion"/>
  </si>
  <si>
    <t>UTI베트남법인 그룹웨어구축</t>
    <phoneticPr fontId="5" type="noConversion"/>
  </si>
  <si>
    <t>작성일자: 2026.03</t>
    <phoneticPr fontId="6" type="noConversion"/>
  </si>
  <si>
    <t>2026.02.26</t>
    <phoneticPr fontId="5" type="noConversion"/>
  </si>
  <si>
    <t>완료보고
(미정)</t>
    <phoneticPr fontId="5" type="noConversion"/>
  </si>
  <si>
    <t>사업시작
(3/2)</t>
    <phoneticPr fontId="5" type="noConversion"/>
  </si>
  <si>
    <t>UTI 베트남 WBS</t>
    <phoneticPr fontId="5" type="noConversion"/>
  </si>
  <si>
    <t>착수보고
(미정)</t>
    <phoneticPr fontId="5" type="noConversion"/>
  </si>
  <si>
    <t>6.23</t>
    <phoneticPr fontId="5" type="noConversion"/>
  </si>
  <si>
    <t>사업종료
(7/1)</t>
    <phoneticPr fontId="5" type="noConversion"/>
  </si>
  <si>
    <t>오픈
(6/8예측)</t>
    <phoneticPr fontId="5" type="noConversion"/>
  </si>
  <si>
    <t>디자인 &amp; 퍼블리싱</t>
    <phoneticPr fontId="5" type="noConversion"/>
  </si>
  <si>
    <t>[포탈] UI 구성 및 웹파트 개발(계열사포함)</t>
    <phoneticPr fontId="5" type="noConversion"/>
  </si>
  <si>
    <t>[전자결재] 기능 및 프로세스 개발</t>
    <phoneticPr fontId="5" type="noConversion"/>
  </si>
  <si>
    <t>[설계]개발환경구축</t>
    <phoneticPr fontId="5" type="noConversion"/>
  </si>
  <si>
    <t>[분석]AS-IS 분석</t>
    <phoneticPr fontId="5" type="noConversion"/>
  </si>
  <si>
    <t>[분석]요구사항분석</t>
    <phoneticPr fontId="5" type="noConversion"/>
  </si>
  <si>
    <t>[설계]디자인 설계 및 확정</t>
    <phoneticPr fontId="5" type="noConversion"/>
  </si>
  <si>
    <t>[설계]전자결재 협의 및 신규설계</t>
    <phoneticPr fontId="5" type="noConversion"/>
  </si>
  <si>
    <t>[설계]포탈 구성 협의</t>
    <phoneticPr fontId="5" type="noConversion"/>
  </si>
  <si>
    <t>[설계]조직도, 웹메일 연계 협의</t>
    <phoneticPr fontId="5" type="noConversion"/>
  </si>
  <si>
    <t>[전자결재] 양식 개발</t>
    <phoneticPr fontId="5" type="noConversion"/>
  </si>
  <si>
    <t>[그룹웨어/포탈] 일반(게시,일정,문서,커뮤니티)</t>
    <phoneticPr fontId="5" type="noConversion"/>
  </si>
  <si>
    <t>[포탈] 자원 - 예약연동(아웃룩연계)</t>
    <phoneticPr fontId="5" type="noConversion"/>
  </si>
  <si>
    <t>[조직도] 외부 연동(M365 연동)</t>
    <phoneticPr fontId="5" type="noConversion"/>
  </si>
  <si>
    <t>[이음톡] 배포버전 빌드</t>
    <phoneticPr fontId="5" type="noConversion"/>
  </si>
  <si>
    <t>[모바일오피스] 배포버전 빌드</t>
    <phoneticPr fontId="5" type="noConversion"/>
  </si>
  <si>
    <t>[설계]운영 시스템 인프라 협의 및 설계</t>
    <phoneticPr fontId="5" type="noConversion"/>
  </si>
  <si>
    <t>중간보고
(4/13예측)</t>
    <phoneticPr fontId="5" type="noConversion"/>
  </si>
  <si>
    <t>4.13</t>
    <phoneticPr fontId="5" type="noConversion"/>
  </si>
  <si>
    <t>[웹메일] Exchange 구성, 아웃룩 Add-In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</si>
</sst>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/&quot;d;@"/>
    <numFmt numFmtId="177" formatCode="&quot;작성일자: &quot;yyyy/mm/dd"/>
    <numFmt numFmtId="178" formatCode="0.0"/>
  </numFmts>
  <fonts count="2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color theme="1"/>
      <name val="Book Antiqua"/>
      <family val="1"/>
    </font>
    <font>
      <b/>
      <sz val="2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i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86">
    <xf numFmtId="0" fontId="0" fillId="0" borderId="0" xfId="0"/>
    <xf numFmtId="0" fontId="7" fillId="2" borderId="0" xfId="0" applyFont="1" applyFill="1" applyAlignment="1">
      <alignment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6" fontId="7" fillId="4" borderId="6" xfId="0" applyNumberFormat="1" applyFont="1" applyFill="1" applyBorder="1" applyAlignment="1">
      <alignment horizontal="center" vertical="center"/>
    </xf>
    <xf numFmtId="176" fontId="7" fillId="4" borderId="7" xfId="0" applyNumberFormat="1" applyFont="1" applyFill="1" applyBorder="1" applyAlignment="1">
      <alignment horizontal="center" vertical="center"/>
    </xf>
    <xf numFmtId="176" fontId="7" fillId="4" borderId="8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5" borderId="3" xfId="0" quotePrefix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11" fillId="6" borderId="0" xfId="1" applyFont="1" applyFill="1">
      <alignment vertical="center"/>
    </xf>
    <xf numFmtId="0" fontId="4" fillId="0" borderId="0" xfId="1">
      <alignment vertical="center"/>
    </xf>
    <xf numFmtId="0" fontId="12" fillId="0" borderId="0" xfId="1" applyFont="1">
      <alignment vertical="center"/>
    </xf>
    <xf numFmtId="0" fontId="11" fillId="6" borderId="0" xfId="1" applyFont="1" applyFill="1" applyBorder="1">
      <alignment vertical="center"/>
    </xf>
    <xf numFmtId="0" fontId="13" fillId="6" borderId="0" xfId="1" applyFont="1" applyFill="1" applyBorder="1" applyAlignment="1">
      <alignment horizontal="right"/>
    </xf>
    <xf numFmtId="0" fontId="14" fillId="6" borderId="0" xfId="1" applyFont="1" applyFill="1" applyBorder="1" applyAlignment="1">
      <alignment horizontal="right" vertical="center"/>
    </xf>
    <xf numFmtId="0" fontId="15" fillId="6" borderId="0" xfId="1" applyFont="1" applyFill="1" applyAlignment="1">
      <alignment horizontal="right" vertical="center"/>
    </xf>
    <xf numFmtId="0" fontId="16" fillId="6" borderId="0" xfId="1" applyFont="1" applyFill="1" applyAlignment="1">
      <alignment horizontal="right" vertical="center"/>
    </xf>
    <xf numFmtId="0" fontId="17" fillId="6" borderId="0" xfId="1" applyFont="1" applyFill="1" applyAlignment="1">
      <alignment horizontal="right" vertical="center"/>
    </xf>
    <xf numFmtId="0" fontId="5" fillId="6" borderId="1" xfId="1" applyFont="1" applyFill="1" applyBorder="1" applyAlignment="1">
      <alignment vertical="center" wrapText="1"/>
    </xf>
    <xf numFmtId="0" fontId="18" fillId="6" borderId="1" xfId="1" applyFont="1" applyFill="1" applyBorder="1">
      <alignment vertical="center"/>
    </xf>
    <xf numFmtId="0" fontId="18" fillId="6" borderId="25" xfId="1" applyFont="1" applyFill="1" applyBorder="1">
      <alignment vertical="center"/>
    </xf>
    <xf numFmtId="0" fontId="18" fillId="0" borderId="0" xfId="1" applyFont="1">
      <alignment vertical="center"/>
    </xf>
    <xf numFmtId="0" fontId="22" fillId="2" borderId="0" xfId="0" applyFont="1" applyFill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left" vertical="center"/>
    </xf>
    <xf numFmtId="0" fontId="9" fillId="2" borderId="49" xfId="0" applyFont="1" applyFill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9" fillId="2" borderId="44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176" fontId="7" fillId="4" borderId="51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51" xfId="0" applyFont="1" applyFill="1" applyBorder="1" applyAlignment="1">
      <alignment horizontal="center" vertical="center"/>
    </xf>
    <xf numFmtId="0" fontId="8" fillId="0" borderId="52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0" borderId="53" xfId="0" applyFont="1" applyFill="1" applyBorder="1" applyAlignment="1">
      <alignment horizontal="center" vertical="center"/>
    </xf>
    <xf numFmtId="0" fontId="8" fillId="7" borderId="5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0" borderId="43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9" borderId="51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8" borderId="43" xfId="0" quotePrefix="1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/>
    </xf>
    <xf numFmtId="14" fontId="22" fillId="4" borderId="10" xfId="0" applyNumberFormat="1" applyFont="1" applyFill="1" applyBorder="1" applyAlignment="1">
      <alignment horizontal="center" vertical="center"/>
    </xf>
    <xf numFmtId="14" fontId="22" fillId="4" borderId="11" xfId="0" applyNumberFormat="1" applyFont="1" applyFill="1" applyBorder="1" applyAlignment="1">
      <alignment horizontal="center" vertical="center"/>
    </xf>
    <xf numFmtId="14" fontId="22" fillId="4" borderId="12" xfId="0" applyNumberFormat="1" applyFont="1" applyFill="1" applyBorder="1" applyAlignment="1">
      <alignment horizontal="center" vertical="center"/>
    </xf>
    <xf numFmtId="14" fontId="22" fillId="4" borderId="52" xfId="0" applyNumberFormat="1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7" fillId="4" borderId="43" xfId="0" applyFont="1" applyFill="1" applyBorder="1" applyAlignment="1">
      <alignment horizontal="center" vertical="center"/>
    </xf>
    <xf numFmtId="176" fontId="7" fillId="4" borderId="43" xfId="0" applyNumberFormat="1" applyFont="1" applyFill="1" applyBorder="1" applyAlignment="1">
      <alignment horizontal="center" vertical="center"/>
    </xf>
    <xf numFmtId="14" fontId="22" fillId="4" borderId="48" xfId="0" applyNumberFormat="1" applyFont="1" applyFill="1" applyBorder="1" applyAlignment="1">
      <alignment horizontal="center" vertical="center"/>
    </xf>
    <xf numFmtId="0" fontId="8" fillId="0" borderId="37" xfId="0" applyFont="1" applyFill="1" applyBorder="1" applyAlignment="1">
      <alignment horizontal="center" vertical="center"/>
    </xf>
    <xf numFmtId="0" fontId="8" fillId="0" borderId="59" xfId="0" applyFont="1" applyFill="1" applyBorder="1" applyAlignment="1">
      <alignment horizontal="center" vertical="center"/>
    </xf>
    <xf numFmtId="0" fontId="8" fillId="5" borderId="37" xfId="0" applyFont="1" applyFill="1" applyBorder="1" applyAlignment="1">
      <alignment horizontal="center" vertical="center"/>
    </xf>
    <xf numFmtId="0" fontId="8" fillId="7" borderId="43" xfId="0" applyFont="1" applyFill="1" applyBorder="1" applyAlignment="1">
      <alignment horizontal="center" vertical="center"/>
    </xf>
    <xf numFmtId="0" fontId="8" fillId="7" borderId="48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8" borderId="51" xfId="0" quotePrefix="1" applyFont="1" applyFill="1" applyBorder="1" applyAlignment="1">
      <alignment horizontal="center" vertical="center"/>
    </xf>
    <xf numFmtId="0" fontId="8" fillId="7" borderId="52" xfId="0" applyFont="1" applyFill="1" applyBorder="1" applyAlignment="1">
      <alignment horizontal="center" vertical="center"/>
    </xf>
    <xf numFmtId="0" fontId="8" fillId="5" borderId="53" xfId="0" applyFont="1" applyFill="1" applyBorder="1" applyAlignment="1">
      <alignment horizontal="center" vertical="center"/>
    </xf>
    <xf numFmtId="0" fontId="8" fillId="0" borderId="42" xfId="0" applyFont="1" applyFill="1" applyBorder="1" applyAlignment="1">
      <alignment horizontal="center" vertical="center"/>
    </xf>
    <xf numFmtId="0" fontId="8" fillId="0" borderId="3" xfId="0" quotePrefix="1" applyFont="1" applyFill="1" applyBorder="1" applyAlignment="1">
      <alignment horizontal="center" vertical="center"/>
    </xf>
    <xf numFmtId="0" fontId="8" fillId="0" borderId="33" xfId="1" applyFont="1" applyBorder="1" applyAlignment="1">
      <alignment horizontal="center" vertical="center" wrapText="1"/>
    </xf>
    <xf numFmtId="0" fontId="8" fillId="0" borderId="48" xfId="1" applyFont="1" applyBorder="1" applyAlignment="1">
      <alignment horizontal="center" vertical="center" wrapText="1"/>
    </xf>
    <xf numFmtId="0" fontId="11" fillId="0" borderId="49" xfId="1" applyFont="1" applyBorder="1" applyAlignment="1">
      <alignment horizontal="center" vertical="center"/>
    </xf>
    <xf numFmtId="0" fontId="11" fillId="0" borderId="48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0" fontId="8" fillId="0" borderId="36" xfId="1" applyFont="1" applyBorder="1" applyAlignment="1">
      <alignment horizontal="center" vertical="center"/>
    </xf>
    <xf numFmtId="178" fontId="9" fillId="0" borderId="42" xfId="1" applyNumberFormat="1" applyFont="1" applyBorder="1" applyAlignment="1">
      <alignment horizontal="center" vertical="center" wrapText="1"/>
    </xf>
    <xf numFmtId="178" fontId="9" fillId="0" borderId="43" xfId="1" applyNumberFormat="1" applyFont="1" applyBorder="1" applyAlignment="1">
      <alignment horizontal="center" vertical="center" wrapText="1"/>
    </xf>
    <xf numFmtId="0" fontId="18" fillId="0" borderId="44" xfId="1" applyFont="1" applyBorder="1" applyAlignment="1">
      <alignment horizontal="center" vertical="center"/>
    </xf>
    <xf numFmtId="0" fontId="18" fillId="0" borderId="43" xfId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18" fillId="0" borderId="45" xfId="1" applyFont="1" applyBorder="1" applyAlignment="1">
      <alignment horizontal="center" vertical="center"/>
    </xf>
    <xf numFmtId="0" fontId="18" fillId="0" borderId="46" xfId="1" applyFont="1" applyBorder="1" applyAlignment="1">
      <alignment horizontal="center" vertical="center"/>
    </xf>
    <xf numFmtId="0" fontId="18" fillId="0" borderId="47" xfId="1" applyFont="1" applyBorder="1" applyAlignment="1">
      <alignment horizontal="center" vertical="center"/>
    </xf>
    <xf numFmtId="0" fontId="9" fillId="0" borderId="44" xfId="1" applyFont="1" applyBorder="1" applyAlignment="1">
      <alignment horizontal="center" vertical="center"/>
    </xf>
    <xf numFmtId="0" fontId="9" fillId="0" borderId="43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45" xfId="1" applyFont="1" applyBorder="1" applyAlignment="1">
      <alignment horizontal="center" vertical="center"/>
    </xf>
    <xf numFmtId="0" fontId="9" fillId="0" borderId="46" xfId="1" applyFont="1" applyBorder="1" applyAlignment="1">
      <alignment horizontal="center" vertical="center"/>
    </xf>
    <xf numFmtId="0" fontId="9" fillId="0" borderId="47" xfId="1" applyFont="1" applyBorder="1" applyAlignment="1">
      <alignment horizontal="center" vertical="center"/>
    </xf>
    <xf numFmtId="178" fontId="11" fillId="4" borderId="13" xfId="1" applyNumberFormat="1" applyFont="1" applyFill="1" applyBorder="1" applyAlignment="1">
      <alignment horizontal="center" vertical="center" wrapText="1"/>
    </xf>
    <xf numFmtId="178" fontId="11" fillId="4" borderId="37" xfId="1" applyNumberFormat="1" applyFont="1" applyFill="1" applyBorder="1" applyAlignment="1">
      <alignment horizontal="center" vertical="center" wrapText="1"/>
    </xf>
    <xf numFmtId="0" fontId="11" fillId="4" borderId="38" xfId="1" applyFont="1" applyFill="1" applyBorder="1" applyAlignment="1">
      <alignment horizontal="center" vertical="center"/>
    </xf>
    <xf numFmtId="0" fontId="11" fillId="4" borderId="37" xfId="1" applyFont="1" applyFill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39" xfId="1" applyFont="1" applyFill="1" applyBorder="1" applyAlignment="1">
      <alignment horizontal="center" vertical="center"/>
    </xf>
    <xf numFmtId="0" fontId="11" fillId="4" borderId="40" xfId="1" applyFont="1" applyFill="1" applyBorder="1" applyAlignment="1">
      <alignment horizontal="center" vertical="center"/>
    </xf>
    <xf numFmtId="0" fontId="11" fillId="4" borderId="41" xfId="1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9" fillId="6" borderId="28" xfId="1" applyFont="1" applyFill="1" applyBorder="1" applyAlignment="1">
      <alignment horizontal="center" vertical="center"/>
    </xf>
    <xf numFmtId="0" fontId="19" fillId="6" borderId="0" xfId="1" applyFont="1" applyFill="1" applyAlignment="1">
      <alignment horizontal="center" vertical="center"/>
    </xf>
    <xf numFmtId="0" fontId="19" fillId="6" borderId="29" xfId="1" applyFont="1" applyFill="1" applyBorder="1" applyAlignment="1">
      <alignment horizontal="center" vertical="center"/>
    </xf>
    <xf numFmtId="0" fontId="20" fillId="6" borderId="31" xfId="1" applyFont="1" applyFill="1" applyBorder="1" applyAlignment="1">
      <alignment horizontal="center" vertical="center" wrapText="1"/>
    </xf>
    <xf numFmtId="0" fontId="20" fillId="6" borderId="18" xfId="1" applyFont="1" applyFill="1" applyBorder="1" applyAlignment="1">
      <alignment horizontal="center" vertical="center" wrapText="1"/>
    </xf>
    <xf numFmtId="0" fontId="20" fillId="6" borderId="32" xfId="1" applyFont="1" applyFill="1" applyBorder="1" applyAlignment="1">
      <alignment horizontal="center" vertical="center" wrapText="1"/>
    </xf>
    <xf numFmtId="0" fontId="21" fillId="6" borderId="33" xfId="1" applyFont="1" applyFill="1" applyBorder="1" applyAlignment="1">
      <alignment horizontal="left" vertical="center" wrapText="1"/>
    </xf>
    <xf numFmtId="0" fontId="21" fillId="6" borderId="22" xfId="1" applyFont="1" applyFill="1" applyBorder="1" applyAlignment="1">
      <alignment horizontal="left" vertical="center" wrapText="1"/>
    </xf>
    <xf numFmtId="0" fontId="21" fillId="6" borderId="34" xfId="1" applyFont="1" applyFill="1" applyBorder="1" applyAlignment="1">
      <alignment horizontal="left" vertical="center" wrapText="1"/>
    </xf>
    <xf numFmtId="0" fontId="21" fillId="6" borderId="35" xfId="1" applyFont="1" applyFill="1" applyBorder="1" applyAlignment="1">
      <alignment horizontal="center" vertical="center" wrapText="1"/>
    </xf>
    <xf numFmtId="0" fontId="21" fillId="6" borderId="34" xfId="1" applyFont="1" applyFill="1" applyBorder="1" applyAlignment="1">
      <alignment horizontal="center" vertical="center" wrapText="1"/>
    </xf>
    <xf numFmtId="177" fontId="21" fillId="6" borderId="35" xfId="1" applyNumberFormat="1" applyFont="1" applyFill="1" applyBorder="1" applyAlignment="1">
      <alignment horizontal="center" vertical="center" wrapText="1"/>
    </xf>
    <xf numFmtId="177" fontId="21" fillId="6" borderId="36" xfId="1" applyNumberFormat="1" applyFont="1" applyFill="1" applyBorder="1" applyAlignment="1">
      <alignment horizontal="center" vertical="center" wrapText="1"/>
    </xf>
    <xf numFmtId="0" fontId="24" fillId="6" borderId="23" xfId="1" applyFont="1" applyFill="1" applyBorder="1" applyAlignment="1">
      <alignment horizontal="center" vertical="center" wrapText="1"/>
    </xf>
    <xf numFmtId="0" fontId="24" fillId="6" borderId="1" xfId="1" applyFont="1" applyFill="1" applyBorder="1" applyAlignment="1">
      <alignment horizontal="center" vertical="center" wrapText="1"/>
    </xf>
    <xf numFmtId="0" fontId="24" fillId="6" borderId="26" xfId="1" applyFont="1" applyFill="1" applyBorder="1" applyAlignment="1">
      <alignment horizontal="center" vertical="center" wrapText="1"/>
    </xf>
    <xf numFmtId="0" fontId="24" fillId="6" borderId="24" xfId="1" applyFont="1" applyFill="1" applyBorder="1" applyAlignment="1">
      <alignment horizontal="center" vertical="center" wrapText="1"/>
    </xf>
    <xf numFmtId="0" fontId="24" fillId="6" borderId="0" xfId="1" applyFont="1" applyFill="1" applyBorder="1" applyAlignment="1">
      <alignment horizontal="center" vertical="center" wrapText="1"/>
    </xf>
    <xf numFmtId="0" fontId="24" fillId="6" borderId="27" xfId="1" applyFont="1" applyFill="1" applyBorder="1" applyAlignment="1">
      <alignment horizontal="center" vertical="center" wrapText="1"/>
    </xf>
    <xf numFmtId="0" fontId="24" fillId="6" borderId="17" xfId="1" applyFont="1" applyFill="1" applyBorder="1" applyAlignment="1">
      <alignment horizontal="center" vertical="center" wrapText="1"/>
    </xf>
    <xf numFmtId="0" fontId="24" fillId="6" borderId="18" xfId="1" applyFont="1" applyFill="1" applyBorder="1" applyAlignment="1">
      <alignment horizontal="center" vertical="center" wrapText="1"/>
    </xf>
    <xf numFmtId="0" fontId="24" fillId="6" borderId="30" xfId="1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54" xfId="0" applyFont="1" applyFill="1" applyBorder="1" applyAlignment="1">
      <alignment horizontal="center" vertical="center"/>
    </xf>
    <xf numFmtId="0" fontId="7" fillId="4" borderId="55" xfId="0" applyFont="1" applyFill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0" fontId="7" fillId="4" borderId="58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7" fillId="3" borderId="50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right" vertical="center"/>
    </xf>
    <xf numFmtId="0" fontId="7" fillId="3" borderId="25" xfId="0" applyFont="1" applyFill="1" applyBorder="1" applyAlignment="1">
      <alignment horizontal="right" vertical="center"/>
    </xf>
    <xf numFmtId="14" fontId="23" fillId="2" borderId="24" xfId="0" applyNumberFormat="1" applyFont="1" applyFill="1" applyBorder="1" applyAlignment="1">
      <alignment horizontal="left" vertical="center"/>
    </xf>
    <xf numFmtId="14" fontId="23" fillId="2" borderId="0" xfId="0" applyNumberFormat="1" applyFont="1" applyFill="1" applyBorder="1" applyAlignment="1">
      <alignment horizontal="left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</cellXfs>
  <cellStyles count="5">
    <cellStyle name="표준" xfId="0" builtinId="0"/>
    <cellStyle name="표준 2" xfId="2" xr:uid="{00000000-0005-0000-0000-000001000000}"/>
    <cellStyle name="표준 3" xfId="3" xr:uid="{00000000-0005-0000-0000-000002000000}"/>
    <cellStyle name="표준 3 2" xfId="4" xr:uid="{00000000-0005-0000-0000-000003000000}"/>
    <cellStyle name="표준 6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42</xdr:row>
      <xdr:rowOff>9525</xdr:rowOff>
    </xdr:from>
    <xdr:to>
      <xdr:col>11</xdr:col>
      <xdr:colOff>610092</xdr:colOff>
      <xdr:row>42</xdr:row>
      <xdr:rowOff>257495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369DE4B-85A5-4C4E-954C-BA50AF4EE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6" y="12468225"/>
          <a:ext cx="1372091" cy="234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114300</xdr:rowOff>
    </xdr:from>
    <xdr:to>
      <xdr:col>11</xdr:col>
      <xdr:colOff>638175</xdr:colOff>
      <xdr:row>41</xdr:row>
      <xdr:rowOff>180975</xdr:rowOff>
    </xdr:to>
    <xdr:pic>
      <xdr:nvPicPr>
        <xdr:cNvPr id="4" name="그림 3" descr="바닥라인">
          <a:extLst>
            <a:ext uri="{FF2B5EF4-FFF2-40B4-BE49-F238E27FC236}">
              <a16:creationId xmlns:a16="http://schemas.microsoft.com/office/drawing/2014/main" id="{44306693-2CAD-48A9-BA9E-99B8C01F0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63450"/>
          <a:ext cx="1042035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437029</xdr:colOff>
      <xdr:row>12</xdr:row>
      <xdr:rowOff>11205</xdr:rowOff>
    </xdr:from>
    <xdr:to>
      <xdr:col>11</xdr:col>
      <xdr:colOff>597946</xdr:colOff>
      <xdr:row>12</xdr:row>
      <xdr:rowOff>295395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9E8FC68-C4E4-4A23-ABEE-3A2251E33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5204" y="4678455"/>
          <a:ext cx="1688727" cy="28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view="pageBreakPreview" topLeftCell="A16" zoomScaleNormal="100" zoomScaleSheetLayoutView="100" workbookViewId="0">
      <selection activeCell="E29" sqref="E29:J29"/>
    </sheetView>
  </sheetViews>
  <sheetFormatPr defaultColWidth="10" defaultRowHeight="17" x14ac:dyDescent="0.45"/>
  <cols>
    <col min="1" max="1" width="8.33203125" style="46" customWidth="1"/>
    <col min="2" max="2" width="10" style="46"/>
    <col min="3" max="3" width="8.75" style="46" customWidth="1"/>
    <col min="4" max="4" width="9" style="46" customWidth="1"/>
    <col min="5" max="5" width="21.08203125" style="46" customWidth="1"/>
    <col min="6" max="7" width="10" style="46"/>
    <col min="8" max="8" width="12.75" style="46" customWidth="1"/>
    <col min="9" max="9" width="18.33203125" style="46" customWidth="1"/>
    <col min="10" max="11" width="10" style="46"/>
    <col min="12" max="12" width="9" style="46" customWidth="1"/>
    <col min="13" max="16384" width="10" style="46"/>
  </cols>
  <sheetData>
    <row r="1" spans="1:12" x14ac:dyDescent="0.4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34.5" customHeight="1" x14ac:dyDescent="0.45">
      <c r="A2" s="45"/>
      <c r="B2" s="47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120" customHeight="1" x14ac:dyDescent="0.9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9" t="s">
        <v>26</v>
      </c>
    </row>
    <row r="4" spans="1:12" ht="21" x14ac:dyDescent="0.4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50"/>
    </row>
    <row r="5" spans="1:12" ht="56.25" customHeight="1" x14ac:dyDescent="0.45">
      <c r="A5" s="48"/>
      <c r="B5" s="48"/>
      <c r="C5" s="48"/>
      <c r="D5" s="45"/>
      <c r="E5" s="45"/>
      <c r="F5" s="45"/>
      <c r="G5" s="45"/>
      <c r="H5" s="45"/>
      <c r="I5" s="45"/>
      <c r="J5" s="45"/>
      <c r="K5" s="45"/>
      <c r="L5" s="51" t="s">
        <v>27</v>
      </c>
    </row>
    <row r="6" spans="1:12" ht="33.5" x14ac:dyDescent="0.45">
      <c r="A6" s="48"/>
      <c r="B6" s="48"/>
      <c r="C6" s="48"/>
      <c r="D6" s="45"/>
      <c r="E6" s="45"/>
      <c r="F6" s="45"/>
      <c r="G6" s="45"/>
      <c r="H6" s="45"/>
      <c r="I6" s="45"/>
      <c r="J6" s="45"/>
      <c r="K6" s="45"/>
      <c r="L6" s="52"/>
    </row>
    <row r="7" spans="1:12" x14ac:dyDescent="0.4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</row>
    <row r="8" spans="1:12" ht="3.75" customHeight="1" x14ac:dyDescent="0.4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</row>
    <row r="9" spans="1:12" ht="10.5" customHeight="1" x14ac:dyDescent="0.45">
      <c r="A9" s="48"/>
      <c r="B9" s="48"/>
      <c r="C9" s="48"/>
      <c r="D9" s="45"/>
      <c r="E9" s="45"/>
      <c r="F9" s="45"/>
      <c r="G9" s="45"/>
      <c r="H9" s="45"/>
      <c r="I9" s="45"/>
      <c r="J9" s="45"/>
      <c r="K9" s="45"/>
      <c r="L9" s="45"/>
    </row>
    <row r="10" spans="1:12" ht="36" x14ac:dyDescent="0.45">
      <c r="A10" s="48"/>
      <c r="B10" s="48"/>
      <c r="C10" s="48"/>
      <c r="D10" s="45"/>
      <c r="E10" s="45"/>
      <c r="F10" s="45"/>
      <c r="G10" s="45"/>
      <c r="H10" s="45"/>
      <c r="I10" s="45"/>
      <c r="J10" s="45"/>
      <c r="K10" s="45"/>
      <c r="L10" s="53" t="s">
        <v>28</v>
      </c>
    </row>
    <row r="11" spans="1:12" x14ac:dyDescent="0.45">
      <c r="A11" s="48"/>
      <c r="B11" s="48"/>
      <c r="C11" s="48"/>
      <c r="D11" s="45"/>
      <c r="E11" s="45"/>
      <c r="F11" s="45"/>
      <c r="G11" s="45"/>
      <c r="H11" s="45"/>
      <c r="I11" s="45"/>
      <c r="J11" s="45"/>
      <c r="K11" s="45"/>
      <c r="L11" s="45"/>
    </row>
    <row r="12" spans="1:12" x14ac:dyDescent="0.4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spans="1:12" ht="78" customHeight="1" x14ac:dyDescent="0.4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</row>
    <row r="14" spans="1:12" x14ac:dyDescent="0.4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</row>
    <row r="15" spans="1:12" ht="57" customHeight="1" x14ac:dyDescent="0.4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</row>
    <row r="16" spans="1:12" ht="17.5" thickBot="1" x14ac:dyDescent="0.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</row>
    <row r="17" spans="1:12" ht="12.5" customHeight="1" x14ac:dyDescent="0.45">
      <c r="A17" s="158" t="s">
        <v>62</v>
      </c>
      <c r="B17" s="159"/>
      <c r="C17" s="160"/>
      <c r="D17" s="54"/>
      <c r="E17" s="54"/>
      <c r="F17" s="54"/>
      <c r="G17" s="55"/>
      <c r="H17" s="55"/>
      <c r="I17" s="55"/>
      <c r="J17" s="55"/>
      <c r="K17" s="55"/>
      <c r="L17" s="56"/>
    </row>
    <row r="18" spans="1:12" ht="26" customHeight="1" x14ac:dyDescent="0.45">
      <c r="A18" s="161"/>
      <c r="B18" s="162"/>
      <c r="C18" s="163"/>
      <c r="D18" s="145" t="s">
        <v>26</v>
      </c>
      <c r="E18" s="146"/>
      <c r="F18" s="146"/>
      <c r="G18" s="146"/>
      <c r="H18" s="146"/>
      <c r="I18" s="146"/>
      <c r="J18" s="146"/>
      <c r="K18" s="146"/>
      <c r="L18" s="147"/>
    </row>
    <row r="19" spans="1:12" ht="13" customHeight="1" x14ac:dyDescent="0.45">
      <c r="A19" s="164"/>
      <c r="B19" s="165"/>
      <c r="C19" s="166"/>
      <c r="D19" s="148" t="s">
        <v>35</v>
      </c>
      <c r="E19" s="149"/>
      <c r="F19" s="149"/>
      <c r="G19" s="149"/>
      <c r="H19" s="149"/>
      <c r="I19" s="149"/>
      <c r="J19" s="149"/>
      <c r="K19" s="149"/>
      <c r="L19" s="150"/>
    </row>
    <row r="20" spans="1:12" ht="17.25" customHeight="1" thickBot="1" x14ac:dyDescent="0.5">
      <c r="A20" s="151" t="s">
        <v>60</v>
      </c>
      <c r="B20" s="152"/>
      <c r="C20" s="152"/>
      <c r="D20" s="152"/>
      <c r="E20" s="152"/>
      <c r="F20" s="152"/>
      <c r="G20" s="152"/>
      <c r="H20" s="153"/>
      <c r="I20" s="154" t="s">
        <v>19</v>
      </c>
      <c r="J20" s="155"/>
      <c r="K20" s="156" t="s">
        <v>63</v>
      </c>
      <c r="L20" s="157"/>
    </row>
    <row r="21" spans="1:12" x14ac:dyDescent="0.4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</row>
    <row r="22" spans="1:12" ht="17.25" customHeight="1" x14ac:dyDescent="0.45">
      <c r="A22" s="144" t="s">
        <v>20</v>
      </c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</row>
    <row r="23" spans="1:12" ht="17.5" thickBot="1" x14ac:dyDescent="0.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</row>
    <row r="24" spans="1:12" ht="30" customHeight="1" x14ac:dyDescent="0.45">
      <c r="A24" s="136" t="s">
        <v>21</v>
      </c>
      <c r="B24" s="137"/>
      <c r="C24" s="138" t="s">
        <v>22</v>
      </c>
      <c r="D24" s="139"/>
      <c r="E24" s="138" t="s">
        <v>23</v>
      </c>
      <c r="F24" s="140"/>
      <c r="G24" s="140"/>
      <c r="H24" s="140"/>
      <c r="I24" s="140"/>
      <c r="J24" s="141"/>
      <c r="K24" s="142" t="s">
        <v>24</v>
      </c>
      <c r="L24" s="143"/>
    </row>
    <row r="25" spans="1:12" x14ac:dyDescent="0.45">
      <c r="A25" s="122">
        <v>0.1</v>
      </c>
      <c r="B25" s="123"/>
      <c r="C25" s="130" t="s">
        <v>29</v>
      </c>
      <c r="D25" s="131"/>
      <c r="E25" s="130" t="s">
        <v>25</v>
      </c>
      <c r="F25" s="132"/>
      <c r="G25" s="132"/>
      <c r="H25" s="132"/>
      <c r="I25" s="132"/>
      <c r="J25" s="133"/>
      <c r="K25" s="134" t="s">
        <v>64</v>
      </c>
      <c r="L25" s="135"/>
    </row>
    <row r="26" spans="1:12" x14ac:dyDescent="0.45">
      <c r="A26" s="122"/>
      <c r="B26" s="123"/>
      <c r="C26" s="130"/>
      <c r="D26" s="131"/>
      <c r="E26" s="130"/>
      <c r="F26" s="132"/>
      <c r="G26" s="132"/>
      <c r="H26" s="132"/>
      <c r="I26" s="132"/>
      <c r="J26" s="133"/>
      <c r="K26" s="134"/>
      <c r="L26" s="135"/>
    </row>
    <row r="27" spans="1:12" x14ac:dyDescent="0.45">
      <c r="A27" s="122"/>
      <c r="B27" s="123"/>
      <c r="C27" s="130"/>
      <c r="D27" s="131"/>
      <c r="E27" s="130"/>
      <c r="F27" s="132"/>
      <c r="G27" s="132"/>
      <c r="H27" s="132"/>
      <c r="I27" s="132"/>
      <c r="J27" s="133"/>
      <c r="K27" s="134"/>
      <c r="L27" s="135"/>
    </row>
    <row r="28" spans="1:12" x14ac:dyDescent="0.45">
      <c r="A28" s="122"/>
      <c r="B28" s="123"/>
      <c r="C28" s="124"/>
      <c r="D28" s="125"/>
      <c r="E28" s="124"/>
      <c r="F28" s="126"/>
      <c r="G28" s="126"/>
      <c r="H28" s="126"/>
      <c r="I28" s="126"/>
      <c r="J28" s="127"/>
      <c r="K28" s="128"/>
      <c r="L28" s="129"/>
    </row>
    <row r="29" spans="1:12" x14ac:dyDescent="0.45">
      <c r="A29" s="122"/>
      <c r="B29" s="123"/>
      <c r="C29" s="124"/>
      <c r="D29" s="125"/>
      <c r="E29" s="124"/>
      <c r="F29" s="126"/>
      <c r="G29" s="126"/>
      <c r="H29" s="126"/>
      <c r="I29" s="126"/>
      <c r="J29" s="127"/>
      <c r="K29" s="128"/>
      <c r="L29" s="129"/>
    </row>
    <row r="30" spans="1:12" x14ac:dyDescent="0.45">
      <c r="A30" s="122"/>
      <c r="B30" s="123"/>
      <c r="C30" s="124"/>
      <c r="D30" s="125"/>
      <c r="E30" s="124"/>
      <c r="F30" s="126"/>
      <c r="G30" s="126"/>
      <c r="H30" s="126"/>
      <c r="I30" s="126"/>
      <c r="J30" s="127"/>
      <c r="K30" s="128"/>
      <c r="L30" s="129"/>
    </row>
    <row r="31" spans="1:12" x14ac:dyDescent="0.45">
      <c r="A31" s="122"/>
      <c r="B31" s="123"/>
      <c r="C31" s="124"/>
      <c r="D31" s="125"/>
      <c r="E31" s="124"/>
      <c r="F31" s="126"/>
      <c r="G31" s="126"/>
      <c r="H31" s="126"/>
      <c r="I31" s="126"/>
      <c r="J31" s="127"/>
      <c r="K31" s="128"/>
      <c r="L31" s="129"/>
    </row>
    <row r="32" spans="1:12" x14ac:dyDescent="0.45">
      <c r="A32" s="122"/>
      <c r="B32" s="123"/>
      <c r="C32" s="124"/>
      <c r="D32" s="125"/>
      <c r="E32" s="124"/>
      <c r="F32" s="126"/>
      <c r="G32" s="126"/>
      <c r="H32" s="126"/>
      <c r="I32" s="126"/>
      <c r="J32" s="127"/>
      <c r="K32" s="128"/>
      <c r="L32" s="129"/>
    </row>
    <row r="33" spans="1:12" x14ac:dyDescent="0.45">
      <c r="A33" s="122"/>
      <c r="B33" s="123"/>
      <c r="C33" s="124"/>
      <c r="D33" s="125"/>
      <c r="E33" s="124"/>
      <c r="F33" s="126"/>
      <c r="G33" s="126"/>
      <c r="H33" s="126"/>
      <c r="I33" s="126"/>
      <c r="J33" s="127"/>
      <c r="K33" s="128"/>
      <c r="L33" s="129"/>
    </row>
    <row r="34" spans="1:12" x14ac:dyDescent="0.45">
      <c r="A34" s="122"/>
      <c r="B34" s="123"/>
      <c r="C34" s="124"/>
      <c r="D34" s="125"/>
      <c r="E34" s="124"/>
      <c r="F34" s="126"/>
      <c r="G34" s="126"/>
      <c r="H34" s="126"/>
      <c r="I34" s="126"/>
      <c r="J34" s="127"/>
      <c r="K34" s="128"/>
      <c r="L34" s="129"/>
    </row>
    <row r="35" spans="1:12" x14ac:dyDescent="0.45">
      <c r="A35" s="122"/>
      <c r="B35" s="123"/>
      <c r="C35" s="124"/>
      <c r="D35" s="125"/>
      <c r="E35" s="124"/>
      <c r="F35" s="126"/>
      <c r="G35" s="126"/>
      <c r="H35" s="126"/>
      <c r="I35" s="126"/>
      <c r="J35" s="127"/>
      <c r="K35" s="128"/>
      <c r="L35" s="129"/>
    </row>
    <row r="36" spans="1:12" x14ac:dyDescent="0.45">
      <c r="A36" s="122"/>
      <c r="B36" s="123"/>
      <c r="C36" s="124"/>
      <c r="D36" s="125"/>
      <c r="E36" s="124"/>
      <c r="F36" s="126"/>
      <c r="G36" s="126"/>
      <c r="H36" s="126"/>
      <c r="I36" s="126"/>
      <c r="J36" s="127"/>
      <c r="K36" s="128"/>
      <c r="L36" s="129"/>
    </row>
    <row r="37" spans="1:12" x14ac:dyDescent="0.45">
      <c r="A37" s="122"/>
      <c r="B37" s="123"/>
      <c r="C37" s="124"/>
      <c r="D37" s="125"/>
      <c r="E37" s="124"/>
      <c r="F37" s="126"/>
      <c r="G37" s="126"/>
      <c r="H37" s="126"/>
      <c r="I37" s="126"/>
      <c r="J37" s="127"/>
      <c r="K37" s="128"/>
      <c r="L37" s="129"/>
    </row>
    <row r="38" spans="1:12" x14ac:dyDescent="0.45">
      <c r="A38" s="122"/>
      <c r="B38" s="123"/>
      <c r="C38" s="124"/>
      <c r="D38" s="125"/>
      <c r="E38" s="124"/>
      <c r="F38" s="126"/>
      <c r="G38" s="126"/>
      <c r="H38" s="126"/>
      <c r="I38" s="126"/>
      <c r="J38" s="127"/>
      <c r="K38" s="128"/>
      <c r="L38" s="129"/>
    </row>
    <row r="39" spans="1:12" x14ac:dyDescent="0.45">
      <c r="A39" s="122"/>
      <c r="B39" s="123"/>
      <c r="C39" s="124"/>
      <c r="D39" s="125"/>
      <c r="E39" s="124"/>
      <c r="F39" s="126"/>
      <c r="G39" s="126"/>
      <c r="H39" s="126"/>
      <c r="I39" s="126"/>
      <c r="J39" s="127"/>
      <c r="K39" s="128"/>
      <c r="L39" s="129"/>
    </row>
    <row r="40" spans="1:12" ht="17.5" thickBot="1" x14ac:dyDescent="0.5">
      <c r="A40" s="114"/>
      <c r="B40" s="115"/>
      <c r="C40" s="116"/>
      <c r="D40" s="117"/>
      <c r="E40" s="116"/>
      <c r="F40" s="118"/>
      <c r="G40" s="118"/>
      <c r="H40" s="118"/>
      <c r="I40" s="118"/>
      <c r="J40" s="119"/>
      <c r="K40" s="120"/>
      <c r="L40" s="121"/>
    </row>
    <row r="41" spans="1:12" x14ac:dyDescent="0.45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</row>
    <row r="43" spans="1:12" ht="25.5" customHeight="1" x14ac:dyDescent="0.45"/>
  </sheetData>
  <mergeCells count="75">
    <mergeCell ref="A22:L22"/>
    <mergeCell ref="D18:L18"/>
    <mergeCell ref="D19:L19"/>
    <mergeCell ref="A20:H20"/>
    <mergeCell ref="I20:J20"/>
    <mergeCell ref="K20:L20"/>
    <mergeCell ref="A17:C19"/>
    <mergeCell ref="A24:B24"/>
    <mergeCell ref="C24:D24"/>
    <mergeCell ref="E24:J24"/>
    <mergeCell ref="K24:L24"/>
    <mergeCell ref="A25:B25"/>
    <mergeCell ref="C25:D25"/>
    <mergeCell ref="E25:J25"/>
    <mergeCell ref="K25:L25"/>
    <mergeCell ref="A26:B26"/>
    <mergeCell ref="C26:D26"/>
    <mergeCell ref="E26:J26"/>
    <mergeCell ref="K26:L26"/>
    <mergeCell ref="A27:B27"/>
    <mergeCell ref="C27:D27"/>
    <mergeCell ref="E27:J27"/>
    <mergeCell ref="K27:L27"/>
    <mergeCell ref="A28:B28"/>
    <mergeCell ref="C28:D28"/>
    <mergeCell ref="E28:J28"/>
    <mergeCell ref="K28:L28"/>
    <mergeCell ref="A29:B29"/>
    <mergeCell ref="C29:D29"/>
    <mergeCell ref="E29:J29"/>
    <mergeCell ref="K29:L29"/>
    <mergeCell ref="A30:B30"/>
    <mergeCell ref="C30:D30"/>
    <mergeCell ref="E30:J30"/>
    <mergeCell ref="K30:L30"/>
    <mergeCell ref="A31:B31"/>
    <mergeCell ref="C31:D31"/>
    <mergeCell ref="E31:J31"/>
    <mergeCell ref="K31:L31"/>
    <mergeCell ref="A32:B32"/>
    <mergeCell ref="C32:D32"/>
    <mergeCell ref="E32:J32"/>
    <mergeCell ref="K32:L32"/>
    <mergeCell ref="A33:B33"/>
    <mergeCell ref="C33:D33"/>
    <mergeCell ref="E33:J33"/>
    <mergeCell ref="K33:L33"/>
    <mergeCell ref="A34:B34"/>
    <mergeCell ref="C34:D34"/>
    <mergeCell ref="E34:J34"/>
    <mergeCell ref="K34:L34"/>
    <mergeCell ref="A35:B35"/>
    <mergeCell ref="C35:D35"/>
    <mergeCell ref="E35:J35"/>
    <mergeCell ref="K35:L35"/>
    <mergeCell ref="A36:B36"/>
    <mergeCell ref="C36:D36"/>
    <mergeCell ref="E36:J36"/>
    <mergeCell ref="K36:L36"/>
    <mergeCell ref="A37:B37"/>
    <mergeCell ref="C37:D37"/>
    <mergeCell ref="E37:J37"/>
    <mergeCell ref="K37:L37"/>
    <mergeCell ref="A40:B40"/>
    <mergeCell ref="C40:D40"/>
    <mergeCell ref="E40:J40"/>
    <mergeCell ref="K40:L40"/>
    <mergeCell ref="A38:B38"/>
    <mergeCell ref="C38:D38"/>
    <mergeCell ref="E38:J38"/>
    <mergeCell ref="K38:L38"/>
    <mergeCell ref="A39:B39"/>
    <mergeCell ref="C39:D39"/>
    <mergeCell ref="E39:J39"/>
    <mergeCell ref="K39:L39"/>
  </mergeCells>
  <phoneticPr fontId="5" type="noConversion"/>
  <pageMargins left="0.7" right="0.7" top="0.75" bottom="0.75" header="0.3" footer="0.3"/>
  <pageSetup paperSize="9" scale="8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Y47"/>
  <sheetViews>
    <sheetView tabSelected="1" zoomScale="70" zoomScaleNormal="70" workbookViewId="0">
      <pane xSplit="3" ySplit="7" topLeftCell="D23" activePane="bottomRight" state="frozen"/>
      <selection pane="topRight" activeCell="D1" sqref="D1"/>
      <selection pane="bottomLeft" activeCell="A8" sqref="A8"/>
      <selection pane="bottomRight" activeCell="S36" sqref="S36"/>
    </sheetView>
  </sheetViews>
  <sheetFormatPr defaultColWidth="9" defaultRowHeight="18" customHeight="1" x14ac:dyDescent="0.45"/>
  <cols>
    <col min="1" max="1" width="2.75" style="1" customWidth="1"/>
    <col min="2" max="2" width="2.5" style="1" customWidth="1"/>
    <col min="3" max="3" width="35.5" style="1" customWidth="1"/>
    <col min="4" max="8" width="9.08203125" style="1" customWidth="1"/>
    <col min="9" max="9" width="10.25" style="1" customWidth="1"/>
    <col min="10" max="25" width="9.08203125" style="1" customWidth="1"/>
    <col min="26" max="16384" width="9" style="1"/>
  </cols>
  <sheetData>
    <row r="1" spans="1:25" ht="27" customHeight="1" x14ac:dyDescent="0.45">
      <c r="A1" s="175" t="s">
        <v>67</v>
      </c>
      <c r="B1" s="175"/>
      <c r="C1" s="175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</row>
    <row r="2" spans="1:25" ht="6" customHeight="1" thickBot="1" x14ac:dyDescent="0.5"/>
    <row r="3" spans="1:25" ht="18" customHeight="1" thickBot="1" x14ac:dyDescent="0.5">
      <c r="A3" s="177" t="s">
        <v>61</v>
      </c>
      <c r="B3" s="178"/>
      <c r="C3" s="179"/>
      <c r="D3" s="180">
        <v>46083</v>
      </c>
      <c r="E3" s="181"/>
    </row>
    <row r="4" spans="1:25" ht="15" customHeight="1" thickTop="1" x14ac:dyDescent="0.45">
      <c r="A4" s="169" t="s">
        <v>0</v>
      </c>
      <c r="B4" s="170"/>
      <c r="C4" s="170"/>
      <c r="D4" s="182" t="s">
        <v>36</v>
      </c>
      <c r="E4" s="167"/>
      <c r="F4" s="167"/>
      <c r="G4" s="168"/>
      <c r="H4" s="182" t="s">
        <v>37</v>
      </c>
      <c r="I4" s="167"/>
      <c r="J4" s="167"/>
      <c r="K4" s="167"/>
      <c r="L4" s="168"/>
      <c r="M4" s="183" t="s">
        <v>38</v>
      </c>
      <c r="N4" s="184"/>
      <c r="O4" s="184"/>
      <c r="P4" s="185"/>
      <c r="Q4" s="182" t="s">
        <v>39</v>
      </c>
      <c r="R4" s="167"/>
      <c r="S4" s="167"/>
      <c r="T4" s="168"/>
      <c r="U4" s="167" t="s">
        <v>40</v>
      </c>
      <c r="V4" s="167"/>
      <c r="W4" s="167"/>
      <c r="X4" s="167"/>
      <c r="Y4" s="168"/>
    </row>
    <row r="5" spans="1:25" s="5" customFormat="1" ht="15" customHeight="1" x14ac:dyDescent="0.45">
      <c r="A5" s="171"/>
      <c r="B5" s="172"/>
      <c r="C5" s="172"/>
      <c r="D5" s="2"/>
      <c r="E5" s="3"/>
      <c r="F5" s="3" t="s">
        <v>34</v>
      </c>
      <c r="G5" s="4" t="s">
        <v>44</v>
      </c>
      <c r="H5" s="2" t="s">
        <v>45</v>
      </c>
      <c r="I5" s="3" t="s">
        <v>46</v>
      </c>
      <c r="J5" s="3" t="s">
        <v>47</v>
      </c>
      <c r="K5" s="3" t="s">
        <v>48</v>
      </c>
      <c r="L5" s="4" t="s">
        <v>49</v>
      </c>
      <c r="M5" s="2" t="s">
        <v>50</v>
      </c>
      <c r="N5" s="3" t="s">
        <v>51</v>
      </c>
      <c r="O5" s="3" t="s">
        <v>52</v>
      </c>
      <c r="P5" s="4" t="s">
        <v>53</v>
      </c>
      <c r="Q5" s="2" t="s">
        <v>54</v>
      </c>
      <c r="R5" s="3" t="s">
        <v>41</v>
      </c>
      <c r="S5" s="3" t="s">
        <v>42</v>
      </c>
      <c r="T5" s="4" t="s">
        <v>43</v>
      </c>
      <c r="U5" s="100" t="s">
        <v>55</v>
      </c>
      <c r="V5" s="3" t="s">
        <v>56</v>
      </c>
      <c r="W5" s="3" t="s">
        <v>57</v>
      </c>
      <c r="X5" s="3" t="s">
        <v>58</v>
      </c>
      <c r="Y5" s="4" t="s">
        <v>59</v>
      </c>
    </row>
    <row r="6" spans="1:25" s="5" customFormat="1" ht="16" x14ac:dyDescent="0.45">
      <c r="A6" s="171"/>
      <c r="B6" s="172"/>
      <c r="C6" s="172"/>
      <c r="D6" s="6">
        <f>D3</f>
        <v>46083</v>
      </c>
      <c r="E6" s="7">
        <f>D6+7</f>
        <v>46090</v>
      </c>
      <c r="F6" s="7">
        <f>E6+7</f>
        <v>46097</v>
      </c>
      <c r="G6" s="8">
        <f>F6+7</f>
        <v>46104</v>
      </c>
      <c r="H6" s="6">
        <f>G6+7</f>
        <v>46111</v>
      </c>
      <c r="I6" s="7">
        <f t="shared" ref="I6:V6" si="0">H6+7</f>
        <v>46118</v>
      </c>
      <c r="J6" s="7">
        <f t="shared" si="0"/>
        <v>46125</v>
      </c>
      <c r="K6" s="7">
        <f t="shared" si="0"/>
        <v>46132</v>
      </c>
      <c r="L6" s="67">
        <f t="shared" si="0"/>
        <v>46139</v>
      </c>
      <c r="M6" s="6">
        <f>L6+7</f>
        <v>46146</v>
      </c>
      <c r="N6" s="7">
        <f t="shared" si="0"/>
        <v>46153</v>
      </c>
      <c r="O6" s="7">
        <f>N6+7</f>
        <v>46160</v>
      </c>
      <c r="P6" s="67">
        <f t="shared" si="0"/>
        <v>46167</v>
      </c>
      <c r="Q6" s="6">
        <f>P6+7</f>
        <v>46174</v>
      </c>
      <c r="R6" s="7">
        <f t="shared" ref="R6" si="1">Q6+7</f>
        <v>46181</v>
      </c>
      <c r="S6" s="7">
        <f t="shared" ref="S6" si="2">R6+7</f>
        <v>46188</v>
      </c>
      <c r="T6" s="8">
        <f t="shared" ref="T6" si="3">S6+7</f>
        <v>46195</v>
      </c>
      <c r="U6" s="101">
        <f>T6+7</f>
        <v>46202</v>
      </c>
      <c r="V6" s="7">
        <f t="shared" si="0"/>
        <v>46209</v>
      </c>
      <c r="W6" s="7">
        <f t="shared" ref="W6" si="4">V6+7</f>
        <v>46216</v>
      </c>
      <c r="X6" s="7">
        <f t="shared" ref="X6" si="5">W6+7</f>
        <v>46223</v>
      </c>
      <c r="Y6" s="8">
        <f t="shared" ref="Y6" si="6">X6+7</f>
        <v>46230</v>
      </c>
    </row>
    <row r="7" spans="1:25" s="58" customFormat="1" ht="15" customHeight="1" thickBot="1" x14ac:dyDescent="0.5">
      <c r="A7" s="173"/>
      <c r="B7" s="174"/>
      <c r="C7" s="174"/>
      <c r="D7" s="94" t="str">
        <f>CONCATENATE(TEXT(D6,"m/d;@"), "~", TEXT(D6+4,"m/d;@"))</f>
        <v>3/2~3/6</v>
      </c>
      <c r="E7" s="95" t="str">
        <f t="shared" ref="E7:Y7" si="7">CONCATENATE(TEXT(E6,"m/d;@"), "~", TEXT(E6+4,"m/d;@"))</f>
        <v>3/9~3/13</v>
      </c>
      <c r="F7" s="95" t="str">
        <f t="shared" si="7"/>
        <v>3/16~3/20</v>
      </c>
      <c r="G7" s="96" t="str">
        <f t="shared" si="7"/>
        <v>3/23~3/27</v>
      </c>
      <c r="H7" s="94" t="str">
        <f t="shared" si="7"/>
        <v>3/30~4/3</v>
      </c>
      <c r="I7" s="95" t="str">
        <f t="shared" si="7"/>
        <v>4/6~4/10</v>
      </c>
      <c r="J7" s="95" t="str">
        <f t="shared" si="7"/>
        <v>4/13~4/17</v>
      </c>
      <c r="K7" s="95" t="str">
        <f t="shared" si="7"/>
        <v>4/20~4/24</v>
      </c>
      <c r="L7" s="97" t="str">
        <f t="shared" si="7"/>
        <v>4/27~5/1</v>
      </c>
      <c r="M7" s="94" t="str">
        <f t="shared" si="7"/>
        <v>5/4~5/8</v>
      </c>
      <c r="N7" s="95" t="str">
        <f t="shared" si="7"/>
        <v>5/11~5/15</v>
      </c>
      <c r="O7" s="95" t="str">
        <f t="shared" si="7"/>
        <v>5/18~5/22</v>
      </c>
      <c r="P7" s="97" t="str">
        <f t="shared" si="7"/>
        <v>5/25~5/29</v>
      </c>
      <c r="Q7" s="94" t="str">
        <f t="shared" ref="Q7:T7" si="8">CONCATENATE(TEXT(Q6,"m/d;@"), "~", TEXT(Q6+4,"m/d;@"))</f>
        <v>6/1~6/5</v>
      </c>
      <c r="R7" s="95" t="str">
        <f t="shared" si="8"/>
        <v>6/8~6/12</v>
      </c>
      <c r="S7" s="95" t="str">
        <f t="shared" si="8"/>
        <v>6/15~6/19</v>
      </c>
      <c r="T7" s="96" t="str">
        <f t="shared" si="8"/>
        <v>6/22~6/26</v>
      </c>
      <c r="U7" s="102" t="str">
        <f t="shared" si="7"/>
        <v>6/29~7/3</v>
      </c>
      <c r="V7" s="95" t="str">
        <f t="shared" ref="V7:W7" si="9">CONCATENATE(TEXT(V6,"m/d;@"), "~", TEXT(V6+4,"m/d;@"))</f>
        <v>7/6~7/10</v>
      </c>
      <c r="W7" s="95" t="str">
        <f t="shared" si="9"/>
        <v>7/13~7/17</v>
      </c>
      <c r="X7" s="95" t="str">
        <f t="shared" si="7"/>
        <v>7/20~7/24</v>
      </c>
      <c r="Y7" s="96" t="str">
        <f t="shared" si="7"/>
        <v>7/27~7/31</v>
      </c>
    </row>
    <row r="8" spans="1:25" ht="32.5" thickTop="1" x14ac:dyDescent="0.45">
      <c r="A8" s="41" t="s">
        <v>1</v>
      </c>
      <c r="B8" s="42"/>
      <c r="C8" s="42"/>
      <c r="D8" s="88" t="s">
        <v>66</v>
      </c>
      <c r="E8" s="89" t="s">
        <v>68</v>
      </c>
      <c r="F8" s="91"/>
      <c r="G8" s="91"/>
      <c r="H8" s="90"/>
      <c r="I8" s="91"/>
      <c r="J8" s="88" t="s">
        <v>89</v>
      </c>
      <c r="K8" s="91"/>
      <c r="L8" s="91"/>
      <c r="M8" s="90"/>
      <c r="N8" s="91"/>
      <c r="O8" s="91"/>
      <c r="P8" s="91"/>
      <c r="Q8" s="90"/>
      <c r="R8" s="99" t="s">
        <v>71</v>
      </c>
      <c r="S8" s="91"/>
      <c r="T8" s="108" t="s">
        <v>65</v>
      </c>
      <c r="U8" s="92" t="s">
        <v>70</v>
      </c>
      <c r="V8" s="24"/>
      <c r="W8" s="24"/>
      <c r="X8" s="24"/>
      <c r="Y8" s="34"/>
    </row>
    <row r="9" spans="1:25" ht="13" customHeight="1" x14ac:dyDescent="0.45">
      <c r="A9" s="9"/>
      <c r="B9" s="40" t="s">
        <v>15</v>
      </c>
      <c r="C9" s="60"/>
      <c r="D9" s="12"/>
      <c r="E9" s="10"/>
      <c r="F9" s="10"/>
      <c r="G9" s="10"/>
      <c r="H9" s="78"/>
      <c r="I9" s="10"/>
      <c r="J9" s="10"/>
      <c r="K9" s="10"/>
      <c r="L9" s="69"/>
      <c r="M9" s="10"/>
      <c r="N9" s="10"/>
      <c r="O9" s="10"/>
      <c r="P9" s="69"/>
      <c r="Q9" s="12"/>
      <c r="R9" s="10"/>
      <c r="S9" s="10"/>
      <c r="T9" s="11"/>
      <c r="U9" s="78"/>
      <c r="V9" s="10"/>
      <c r="W9" s="10"/>
      <c r="X9" s="10"/>
      <c r="Y9" s="11"/>
    </row>
    <row r="10" spans="1:25" ht="13" customHeight="1" x14ac:dyDescent="0.45">
      <c r="A10" s="9"/>
      <c r="B10" s="40" t="s">
        <v>30</v>
      </c>
      <c r="C10" s="60"/>
      <c r="D10" s="12"/>
      <c r="E10" s="10"/>
      <c r="F10" s="10"/>
      <c r="G10" s="11"/>
      <c r="H10" s="78"/>
      <c r="I10" s="10"/>
      <c r="J10" s="86" t="s">
        <v>90</v>
      </c>
      <c r="K10" s="19"/>
      <c r="L10" s="69"/>
      <c r="M10" s="12"/>
      <c r="N10" s="10"/>
      <c r="O10" s="10"/>
      <c r="P10" s="10"/>
      <c r="Q10" s="12"/>
      <c r="R10" s="10"/>
      <c r="S10" s="10"/>
      <c r="T10" s="11"/>
      <c r="U10" s="78"/>
      <c r="V10" s="10"/>
      <c r="W10" s="10"/>
      <c r="X10" s="10"/>
      <c r="Y10" s="11"/>
    </row>
    <row r="11" spans="1:25" ht="13" customHeight="1" x14ac:dyDescent="0.45">
      <c r="A11" s="9"/>
      <c r="B11" s="40" t="s">
        <v>16</v>
      </c>
      <c r="C11" s="60"/>
      <c r="D11" s="12"/>
      <c r="E11" s="10"/>
      <c r="F11" s="10"/>
      <c r="G11" s="11"/>
      <c r="H11" s="78"/>
      <c r="I11" s="10"/>
      <c r="J11" s="10"/>
      <c r="K11" s="10"/>
      <c r="L11" s="69"/>
      <c r="M11" s="12"/>
      <c r="N11" s="10"/>
      <c r="O11" s="10"/>
      <c r="P11" s="69"/>
      <c r="Q11" s="12"/>
      <c r="R11" s="10"/>
      <c r="S11" s="10"/>
      <c r="T11" s="109" t="s">
        <v>69</v>
      </c>
      <c r="U11" s="78"/>
      <c r="V11" s="10"/>
      <c r="W11" s="10"/>
      <c r="X11" s="10"/>
      <c r="Y11" s="11"/>
    </row>
    <row r="12" spans="1:25" ht="13" customHeight="1" thickBot="1" x14ac:dyDescent="0.5">
      <c r="A12" s="14"/>
      <c r="B12" s="43" t="s">
        <v>17</v>
      </c>
      <c r="C12" s="61"/>
      <c r="D12" s="16"/>
      <c r="E12" s="17"/>
      <c r="F12" s="17"/>
      <c r="G12" s="18"/>
      <c r="H12" s="87"/>
      <c r="I12" s="17"/>
      <c r="J12" s="17"/>
      <c r="K12" s="17"/>
      <c r="L12" s="70"/>
      <c r="M12" s="16"/>
      <c r="N12" s="17"/>
      <c r="O12" s="17"/>
      <c r="P12" s="70"/>
      <c r="Q12" s="16"/>
      <c r="R12" s="17"/>
      <c r="S12" s="17"/>
      <c r="T12" s="109" t="s">
        <v>69</v>
      </c>
      <c r="U12" s="87"/>
      <c r="V12" s="17"/>
      <c r="W12" s="17"/>
      <c r="X12" s="17"/>
      <c r="Y12" s="22"/>
    </row>
    <row r="13" spans="1:25" ht="13" customHeight="1" x14ac:dyDescent="0.45">
      <c r="A13" s="38" t="s">
        <v>2</v>
      </c>
      <c r="B13" s="39"/>
      <c r="C13" s="62"/>
      <c r="D13" s="30"/>
      <c r="E13" s="33"/>
      <c r="F13" s="28"/>
      <c r="G13" s="32"/>
      <c r="H13" s="59"/>
      <c r="I13" s="33"/>
      <c r="J13" s="28"/>
      <c r="K13" s="31"/>
      <c r="L13" s="71"/>
      <c r="M13" s="59"/>
      <c r="N13" s="113"/>
      <c r="O13" s="113"/>
      <c r="P13" s="71"/>
      <c r="Q13" s="59"/>
      <c r="R13" s="31"/>
      <c r="S13" s="31"/>
      <c r="T13" s="34"/>
      <c r="U13" s="103"/>
      <c r="V13" s="31"/>
      <c r="W13" s="31"/>
      <c r="X13" s="31"/>
      <c r="Y13" s="34"/>
    </row>
    <row r="14" spans="1:25" ht="13" customHeight="1" x14ac:dyDescent="0.45">
      <c r="A14" s="44"/>
      <c r="B14" s="40" t="s">
        <v>75</v>
      </c>
      <c r="C14" s="60"/>
      <c r="D14" s="23"/>
      <c r="E14" s="65"/>
      <c r="F14" s="65"/>
      <c r="G14" s="72"/>
      <c r="H14" s="19"/>
      <c r="I14" s="19"/>
      <c r="J14" s="19"/>
      <c r="K14" s="19"/>
      <c r="L14" s="72"/>
      <c r="M14" s="23"/>
      <c r="N14" s="10"/>
      <c r="O14" s="10"/>
      <c r="P14" s="69"/>
      <c r="Q14" s="12"/>
      <c r="R14" s="10"/>
      <c r="S14" s="10"/>
      <c r="T14" s="11"/>
      <c r="U14" s="78"/>
      <c r="V14" s="10"/>
      <c r="W14" s="10"/>
      <c r="X14" s="10"/>
      <c r="Y14" s="11"/>
    </row>
    <row r="15" spans="1:25" ht="13" customHeight="1" x14ac:dyDescent="0.45">
      <c r="A15" s="44"/>
      <c r="B15" s="40" t="s">
        <v>76</v>
      </c>
      <c r="C15" s="60"/>
      <c r="D15" s="64"/>
      <c r="E15" s="65"/>
      <c r="F15" s="19"/>
      <c r="G15" s="20"/>
      <c r="H15" s="19"/>
      <c r="I15" s="19"/>
      <c r="J15" s="19"/>
      <c r="K15" s="19"/>
      <c r="L15" s="72"/>
      <c r="M15" s="23"/>
      <c r="N15" s="10"/>
      <c r="O15" s="10"/>
      <c r="P15" s="69"/>
      <c r="Q15" s="12"/>
      <c r="R15" s="10"/>
      <c r="S15" s="10"/>
      <c r="T15" s="11"/>
      <c r="U15" s="78"/>
      <c r="V15" s="10"/>
      <c r="W15" s="10"/>
      <c r="X15" s="10"/>
      <c r="Y15" s="11"/>
    </row>
    <row r="16" spans="1:25" ht="12.75" customHeight="1" x14ac:dyDescent="0.45">
      <c r="A16" s="44"/>
      <c r="B16" s="40" t="s">
        <v>77</v>
      </c>
      <c r="C16" s="60"/>
      <c r="D16" s="64"/>
      <c r="E16" s="65"/>
      <c r="F16" s="19"/>
      <c r="G16" s="20"/>
      <c r="H16" s="19"/>
      <c r="I16" s="19"/>
      <c r="J16" s="19"/>
      <c r="K16" s="19"/>
      <c r="L16" s="72"/>
      <c r="M16" s="23"/>
      <c r="N16" s="10"/>
      <c r="O16" s="10"/>
      <c r="P16" s="69"/>
      <c r="Q16" s="12"/>
      <c r="R16" s="10"/>
      <c r="S16" s="10"/>
      <c r="T16" s="11"/>
      <c r="U16" s="78"/>
      <c r="V16" s="10"/>
      <c r="W16" s="10"/>
      <c r="X16" s="10"/>
      <c r="Y16" s="11"/>
    </row>
    <row r="17" spans="1:25" ht="12.75" customHeight="1" x14ac:dyDescent="0.45">
      <c r="A17" s="44"/>
      <c r="B17" s="40" t="s">
        <v>78</v>
      </c>
      <c r="C17" s="60"/>
      <c r="D17" s="64"/>
      <c r="E17" s="65"/>
      <c r="F17" s="65"/>
      <c r="G17" s="72"/>
      <c r="H17" s="19"/>
      <c r="I17" s="19"/>
      <c r="J17" s="19"/>
      <c r="K17" s="19"/>
      <c r="L17" s="72"/>
      <c r="M17" s="12"/>
      <c r="N17" s="10"/>
      <c r="O17" s="10"/>
      <c r="P17" s="69"/>
      <c r="Q17" s="23"/>
      <c r="R17" s="19"/>
      <c r="S17" s="10"/>
      <c r="T17" s="11"/>
      <c r="U17" s="79"/>
      <c r="V17" s="19"/>
      <c r="W17" s="10"/>
      <c r="X17" s="10"/>
      <c r="Y17" s="11"/>
    </row>
    <row r="18" spans="1:25" ht="13" customHeight="1" x14ac:dyDescent="0.45">
      <c r="A18" s="44"/>
      <c r="B18" s="40" t="s">
        <v>88</v>
      </c>
      <c r="C18" s="60"/>
      <c r="D18" s="12"/>
      <c r="E18" s="10"/>
      <c r="F18" s="10"/>
      <c r="G18" s="11"/>
      <c r="H18" s="19"/>
      <c r="I18" s="65"/>
      <c r="J18" s="65"/>
      <c r="K18" s="19"/>
      <c r="L18" s="72"/>
      <c r="M18" s="23"/>
      <c r="N18" s="10"/>
      <c r="O18" s="10"/>
      <c r="P18" s="69"/>
      <c r="Q18" s="23"/>
      <c r="R18" s="79"/>
      <c r="S18" s="10"/>
      <c r="T18" s="11"/>
      <c r="U18" s="79"/>
      <c r="V18" s="79"/>
      <c r="W18" s="10"/>
      <c r="X18" s="10"/>
      <c r="Y18" s="11"/>
    </row>
    <row r="19" spans="1:25" ht="13" customHeight="1" x14ac:dyDescent="0.45">
      <c r="A19" s="44"/>
      <c r="B19" s="60" t="s">
        <v>79</v>
      </c>
      <c r="C19" s="40"/>
      <c r="D19" s="12"/>
      <c r="E19" s="65"/>
      <c r="F19" s="65"/>
      <c r="G19" s="72"/>
      <c r="H19" s="112"/>
      <c r="I19" s="19"/>
      <c r="J19" s="19"/>
      <c r="K19" s="10"/>
      <c r="L19" s="69"/>
      <c r="M19" s="23"/>
      <c r="N19" s="19"/>
      <c r="O19" s="19"/>
      <c r="P19" s="80"/>
      <c r="Q19" s="12"/>
      <c r="R19" s="78"/>
      <c r="S19" s="10"/>
      <c r="T19" s="11"/>
      <c r="U19" s="78"/>
      <c r="V19" s="78"/>
      <c r="W19" s="10"/>
      <c r="X19" s="10"/>
      <c r="Y19" s="11"/>
    </row>
    <row r="20" spans="1:25" ht="13" customHeight="1" x14ac:dyDescent="0.45">
      <c r="A20" s="44"/>
      <c r="B20" s="60" t="s">
        <v>80</v>
      </c>
      <c r="C20" s="40"/>
      <c r="D20" s="12"/>
      <c r="E20" s="65"/>
      <c r="F20" s="65"/>
      <c r="G20" s="72"/>
      <c r="H20" s="112"/>
      <c r="I20" s="19"/>
      <c r="J20" s="19"/>
      <c r="K20" s="10"/>
      <c r="L20" s="69"/>
      <c r="M20" s="23"/>
      <c r="N20" s="19"/>
      <c r="O20" s="19"/>
      <c r="P20" s="80"/>
      <c r="Q20" s="12"/>
      <c r="R20" s="78"/>
      <c r="S20" s="10"/>
      <c r="T20" s="11"/>
      <c r="U20" s="78"/>
      <c r="V20" s="78"/>
      <c r="W20" s="10"/>
      <c r="X20" s="10"/>
      <c r="Y20" s="11"/>
    </row>
    <row r="21" spans="1:25" ht="13" customHeight="1" thickBot="1" x14ac:dyDescent="0.5">
      <c r="A21" s="44"/>
      <c r="B21" s="40" t="s">
        <v>81</v>
      </c>
      <c r="C21" s="60"/>
      <c r="D21" s="12"/>
      <c r="E21" s="65"/>
      <c r="F21" s="65"/>
      <c r="G21" s="72"/>
      <c r="H21" s="112"/>
      <c r="I21" s="19"/>
      <c r="J21" s="19"/>
      <c r="K21" s="10"/>
      <c r="L21" s="69"/>
      <c r="M21" s="19"/>
      <c r="N21" s="19"/>
      <c r="O21" s="79"/>
      <c r="P21" s="72"/>
      <c r="Q21" s="12"/>
      <c r="R21" s="10"/>
      <c r="S21" s="10"/>
      <c r="T21" s="11"/>
      <c r="U21" s="78"/>
      <c r="V21" s="10"/>
      <c r="W21" s="10"/>
      <c r="X21" s="10"/>
      <c r="Y21" s="11"/>
    </row>
    <row r="22" spans="1:25" ht="13" customHeight="1" x14ac:dyDescent="0.45">
      <c r="A22" s="38" t="s">
        <v>3</v>
      </c>
      <c r="B22" s="39"/>
      <c r="C22" s="62"/>
      <c r="D22" s="35"/>
      <c r="E22" s="31"/>
      <c r="F22" s="31"/>
      <c r="G22" s="32"/>
      <c r="H22" s="59"/>
      <c r="I22" s="28"/>
      <c r="J22" s="28"/>
      <c r="K22" s="28"/>
      <c r="L22" s="29"/>
      <c r="M22" s="30"/>
      <c r="N22" s="28"/>
      <c r="O22" s="28"/>
      <c r="P22" s="29"/>
      <c r="Q22" s="59"/>
      <c r="R22" s="31"/>
      <c r="S22" s="31"/>
      <c r="T22" s="32"/>
      <c r="U22" s="103"/>
      <c r="V22" s="31"/>
      <c r="W22" s="31"/>
      <c r="X22" s="31"/>
      <c r="Y22" s="32"/>
    </row>
    <row r="23" spans="1:25" ht="12.75" customHeight="1" x14ac:dyDescent="0.45">
      <c r="A23" s="9"/>
      <c r="B23" s="40" t="s">
        <v>18</v>
      </c>
      <c r="C23" s="60"/>
      <c r="D23" s="12"/>
      <c r="E23" s="10"/>
      <c r="F23" s="10"/>
      <c r="G23" s="72"/>
      <c r="H23" s="23"/>
      <c r="I23" s="81"/>
      <c r="J23" s="81"/>
      <c r="K23" s="81"/>
      <c r="L23" s="82"/>
      <c r="M23" s="83"/>
      <c r="N23" s="81"/>
      <c r="O23" s="81"/>
      <c r="P23" s="82"/>
      <c r="Q23" s="23"/>
      <c r="R23" s="19"/>
      <c r="S23" s="19"/>
      <c r="T23" s="20"/>
      <c r="U23" s="79"/>
      <c r="V23" s="19"/>
      <c r="W23" s="19"/>
      <c r="X23" s="19"/>
      <c r="Y23" s="20"/>
    </row>
    <row r="24" spans="1:25" ht="12.75" customHeight="1" x14ac:dyDescent="0.45">
      <c r="A24" s="9"/>
      <c r="B24" s="13"/>
      <c r="C24" s="60" t="s">
        <v>72</v>
      </c>
      <c r="D24" s="12"/>
      <c r="E24" s="10"/>
      <c r="F24" s="65"/>
      <c r="G24" s="93"/>
      <c r="H24" s="23"/>
      <c r="I24" s="19"/>
      <c r="J24" s="19"/>
      <c r="K24" s="19"/>
      <c r="L24" s="72"/>
      <c r="M24" s="23"/>
      <c r="N24" s="19"/>
      <c r="O24" s="10"/>
      <c r="P24" s="69"/>
      <c r="Q24" s="23"/>
      <c r="R24" s="19"/>
      <c r="S24" s="19"/>
      <c r="T24" s="20"/>
      <c r="U24" s="79"/>
      <c r="V24" s="19"/>
      <c r="W24" s="19"/>
      <c r="X24" s="19"/>
      <c r="Y24" s="20"/>
    </row>
    <row r="25" spans="1:25" ht="13" customHeight="1" x14ac:dyDescent="0.45">
      <c r="A25" s="9"/>
      <c r="B25" s="13"/>
      <c r="C25" s="60" t="s">
        <v>73</v>
      </c>
      <c r="D25" s="12"/>
      <c r="E25" s="10"/>
      <c r="F25" s="10"/>
      <c r="G25" s="93"/>
      <c r="H25" s="64"/>
      <c r="I25" s="19"/>
      <c r="J25" s="19"/>
      <c r="K25" s="19"/>
      <c r="L25" s="72"/>
      <c r="M25" s="23"/>
      <c r="N25" s="19"/>
      <c r="O25" s="19"/>
      <c r="P25" s="72"/>
      <c r="Q25" s="23"/>
      <c r="R25" s="19"/>
      <c r="S25" s="19"/>
      <c r="T25" s="20"/>
      <c r="U25" s="79"/>
      <c r="V25" s="19"/>
      <c r="W25" s="19"/>
      <c r="X25" s="19"/>
      <c r="Y25" s="20"/>
    </row>
    <row r="26" spans="1:25" ht="13" customHeight="1" x14ac:dyDescent="0.45">
      <c r="A26" s="9"/>
      <c r="B26" s="13"/>
      <c r="C26" s="60" t="s">
        <v>74</v>
      </c>
      <c r="D26" s="12"/>
      <c r="E26" s="10"/>
      <c r="F26" s="10"/>
      <c r="G26" s="93"/>
      <c r="H26" s="64"/>
      <c r="I26" s="19"/>
      <c r="J26" s="19"/>
      <c r="K26" s="19"/>
      <c r="L26" s="72"/>
      <c r="M26" s="23"/>
      <c r="N26" s="19"/>
      <c r="O26" s="19"/>
      <c r="P26" s="72"/>
      <c r="Q26" s="23"/>
      <c r="R26" s="19"/>
      <c r="S26" s="19"/>
      <c r="T26" s="20"/>
      <c r="U26" s="79"/>
      <c r="V26" s="19"/>
      <c r="W26" s="19"/>
      <c r="X26" s="19"/>
      <c r="Y26" s="20"/>
    </row>
    <row r="27" spans="1:25" ht="13" customHeight="1" x14ac:dyDescent="0.45">
      <c r="A27" s="9"/>
      <c r="B27" s="13"/>
      <c r="C27" s="60" t="s">
        <v>82</v>
      </c>
      <c r="D27" s="12"/>
      <c r="E27" s="10"/>
      <c r="F27" s="10"/>
      <c r="G27" s="20"/>
      <c r="H27" s="23"/>
      <c r="I27" s="65"/>
      <c r="J27" s="65"/>
      <c r="K27" s="19"/>
      <c r="L27" s="72"/>
      <c r="M27" s="23"/>
      <c r="N27" s="19"/>
      <c r="O27" s="19"/>
      <c r="P27" s="72"/>
      <c r="Q27" s="23"/>
      <c r="R27" s="19"/>
      <c r="S27" s="19"/>
      <c r="T27" s="20"/>
      <c r="U27" s="79"/>
      <c r="V27" s="19"/>
      <c r="W27" s="19"/>
      <c r="X27" s="19"/>
      <c r="Y27" s="20"/>
    </row>
    <row r="28" spans="1:25" ht="16" x14ac:dyDescent="0.45">
      <c r="A28" s="9"/>
      <c r="B28" s="13"/>
      <c r="C28" s="63" t="s">
        <v>83</v>
      </c>
      <c r="D28" s="12"/>
      <c r="E28" s="10"/>
      <c r="F28" s="10"/>
      <c r="G28" s="20"/>
      <c r="H28" s="23"/>
      <c r="I28" s="65"/>
      <c r="J28" s="65"/>
      <c r="K28" s="19"/>
      <c r="L28" s="72"/>
      <c r="M28" s="23"/>
      <c r="N28" s="19"/>
      <c r="O28" s="19"/>
      <c r="P28" s="72"/>
      <c r="Q28" s="23"/>
      <c r="R28" s="19"/>
      <c r="S28" s="19"/>
      <c r="T28" s="20"/>
      <c r="U28" s="79"/>
      <c r="V28" s="19"/>
      <c r="W28" s="19"/>
      <c r="X28" s="19"/>
      <c r="Y28" s="20"/>
    </row>
    <row r="29" spans="1:25" ht="13" customHeight="1" x14ac:dyDescent="0.45">
      <c r="A29" s="9"/>
      <c r="B29" s="13"/>
      <c r="C29" s="60" t="s">
        <v>84</v>
      </c>
      <c r="D29" s="12"/>
      <c r="E29" s="10"/>
      <c r="F29" s="10"/>
      <c r="G29" s="20"/>
      <c r="H29" s="23"/>
      <c r="I29" s="19"/>
      <c r="J29" s="19"/>
      <c r="K29" s="65"/>
      <c r="L29" s="76"/>
      <c r="M29" s="23"/>
      <c r="N29" s="19"/>
      <c r="O29" s="19"/>
      <c r="P29" s="72"/>
      <c r="Q29" s="23"/>
      <c r="R29" s="19"/>
      <c r="S29" s="19"/>
      <c r="T29" s="20"/>
      <c r="U29" s="79"/>
      <c r="V29" s="19"/>
      <c r="W29" s="19"/>
      <c r="X29" s="19"/>
      <c r="Y29" s="20"/>
    </row>
    <row r="30" spans="1:25" ht="13" customHeight="1" x14ac:dyDescent="0.45">
      <c r="A30" s="9"/>
      <c r="B30" s="13"/>
      <c r="C30" s="60" t="s">
        <v>85</v>
      </c>
      <c r="D30" s="12"/>
      <c r="E30" s="10"/>
      <c r="F30" s="10"/>
      <c r="G30" s="20"/>
      <c r="H30" s="23"/>
      <c r="I30" s="19"/>
      <c r="J30" s="65"/>
      <c r="K30" s="65"/>
      <c r="L30" s="76"/>
      <c r="M30" s="23"/>
      <c r="N30" s="19"/>
      <c r="O30" s="19"/>
      <c r="P30" s="72"/>
      <c r="Q30" s="23"/>
      <c r="R30" s="19"/>
      <c r="S30" s="19"/>
      <c r="T30" s="20"/>
      <c r="U30" s="79"/>
      <c r="V30" s="19"/>
      <c r="W30" s="19"/>
      <c r="X30" s="19"/>
      <c r="Y30" s="20"/>
    </row>
    <row r="31" spans="1:25" ht="13" customHeight="1" x14ac:dyDescent="0.45">
      <c r="A31" s="9"/>
      <c r="B31" s="13"/>
      <c r="C31" s="60" t="s">
        <v>86</v>
      </c>
      <c r="D31" s="12"/>
      <c r="E31" s="10"/>
      <c r="F31" s="10"/>
      <c r="G31" s="20"/>
      <c r="H31" s="23"/>
      <c r="I31" s="19"/>
      <c r="J31" s="19"/>
      <c r="K31" s="65"/>
      <c r="L31" s="76"/>
      <c r="M31" s="23"/>
      <c r="N31" s="19"/>
      <c r="O31" s="19"/>
      <c r="P31" s="72"/>
      <c r="Q31" s="23"/>
      <c r="R31" s="19"/>
      <c r="S31" s="19"/>
      <c r="T31" s="20"/>
      <c r="U31" s="79"/>
      <c r="V31" s="19"/>
      <c r="W31" s="19"/>
      <c r="X31" s="19"/>
      <c r="Y31" s="20"/>
    </row>
    <row r="32" spans="1:25" ht="13" customHeight="1" x14ac:dyDescent="0.45">
      <c r="A32" s="9"/>
      <c r="B32" s="13"/>
      <c r="C32" s="60" t="s">
        <v>91</v>
      </c>
      <c r="D32" s="12"/>
      <c r="E32" s="10"/>
      <c r="F32" s="10"/>
      <c r="G32" s="11"/>
      <c r="H32" s="23"/>
      <c r="I32" s="19"/>
      <c r="J32" s="19"/>
      <c r="K32" s="65"/>
      <c r="L32" s="76"/>
      <c r="M32" s="23"/>
      <c r="N32" s="19"/>
      <c r="O32" s="19"/>
      <c r="P32" s="72"/>
      <c r="Q32" s="23"/>
      <c r="R32" s="19"/>
      <c r="S32" s="19"/>
      <c r="T32" s="20"/>
      <c r="U32" s="79"/>
      <c r="V32" s="19"/>
      <c r="W32" s="19"/>
      <c r="X32" s="19"/>
      <c r="Y32" s="20"/>
    </row>
    <row r="33" spans="1:25" ht="13" customHeight="1" x14ac:dyDescent="0.45">
      <c r="A33" s="9"/>
      <c r="B33" s="13"/>
      <c r="C33" s="60" t="s">
        <v>87</v>
      </c>
      <c r="D33" s="12"/>
      <c r="E33" s="10"/>
      <c r="F33" s="10"/>
      <c r="G33" s="11"/>
      <c r="H33" s="23"/>
      <c r="I33" s="19"/>
      <c r="J33" s="19"/>
      <c r="K33" s="65"/>
      <c r="L33" s="76"/>
      <c r="M33" s="23"/>
      <c r="N33" s="19"/>
      <c r="O33" s="19"/>
      <c r="P33" s="72"/>
      <c r="Q33" s="23"/>
      <c r="R33" s="19"/>
      <c r="S33" s="19"/>
      <c r="T33" s="20"/>
      <c r="U33" s="79"/>
      <c r="V33" s="19"/>
      <c r="W33" s="19"/>
      <c r="X33" s="19"/>
      <c r="Y33" s="20"/>
    </row>
    <row r="34" spans="1:25" ht="13" customHeight="1" thickBot="1" x14ac:dyDescent="0.5">
      <c r="A34" s="14"/>
      <c r="B34" s="15" t="s">
        <v>4</v>
      </c>
      <c r="C34" s="61"/>
      <c r="D34" s="16"/>
      <c r="E34" s="17"/>
      <c r="F34" s="17"/>
      <c r="G34" s="18"/>
      <c r="H34" s="37"/>
      <c r="I34" s="21"/>
      <c r="J34" s="21"/>
      <c r="K34" s="21"/>
      <c r="L34" s="73"/>
      <c r="M34" s="98"/>
      <c r="N34" s="17"/>
      <c r="O34" s="21"/>
      <c r="P34" s="22"/>
      <c r="Q34" s="23"/>
      <c r="R34" s="21"/>
      <c r="S34" s="21"/>
      <c r="T34" s="22"/>
      <c r="U34" s="79"/>
      <c r="V34" s="21"/>
      <c r="W34" s="21"/>
      <c r="X34" s="21"/>
      <c r="Y34" s="22"/>
    </row>
    <row r="35" spans="1:25" ht="16" x14ac:dyDescent="0.45">
      <c r="A35" s="38" t="s">
        <v>5</v>
      </c>
      <c r="B35" s="39"/>
      <c r="C35" s="39"/>
      <c r="D35" s="35"/>
      <c r="E35" s="36"/>
      <c r="F35" s="36"/>
      <c r="G35" s="34"/>
      <c r="H35" s="59"/>
      <c r="I35" s="31"/>
      <c r="J35" s="31"/>
      <c r="K35" s="28"/>
      <c r="L35" s="111"/>
      <c r="M35" s="90"/>
      <c r="N35" s="28"/>
      <c r="O35" s="28"/>
      <c r="P35" s="68"/>
      <c r="Q35" s="30"/>
      <c r="R35" s="31"/>
      <c r="S35" s="31"/>
      <c r="T35" s="71"/>
      <c r="U35" s="103"/>
      <c r="V35" s="31"/>
      <c r="W35" s="31"/>
      <c r="X35" s="31"/>
      <c r="Y35" s="34"/>
    </row>
    <row r="36" spans="1:25" ht="13" customHeight="1" x14ac:dyDescent="0.45">
      <c r="A36" s="9"/>
      <c r="B36" s="13" t="s">
        <v>6</v>
      </c>
      <c r="C36" s="60"/>
      <c r="D36" s="12"/>
      <c r="E36" s="10"/>
      <c r="F36" s="10"/>
      <c r="G36" s="11"/>
      <c r="H36" s="23"/>
      <c r="I36" s="19"/>
      <c r="J36" s="19"/>
      <c r="K36" s="65"/>
      <c r="L36" s="76"/>
      <c r="M36" s="23"/>
      <c r="N36" s="19"/>
      <c r="O36" s="19"/>
      <c r="P36" s="72"/>
      <c r="Q36" s="23"/>
      <c r="R36" s="19"/>
      <c r="S36" s="19"/>
      <c r="T36" s="11"/>
      <c r="U36" s="79"/>
      <c r="V36" s="19"/>
      <c r="W36" s="19"/>
      <c r="X36" s="19"/>
      <c r="Y36" s="11"/>
    </row>
    <row r="37" spans="1:25" ht="13" customHeight="1" x14ac:dyDescent="0.45">
      <c r="A37" s="9"/>
      <c r="B37" s="13" t="s">
        <v>7</v>
      </c>
      <c r="C37" s="60"/>
      <c r="D37" s="12"/>
      <c r="E37" s="10"/>
      <c r="F37" s="10"/>
      <c r="G37" s="11"/>
      <c r="H37" s="23"/>
      <c r="I37" s="19"/>
      <c r="J37" s="19"/>
      <c r="K37" s="19"/>
      <c r="L37" s="69"/>
      <c r="M37" s="64"/>
      <c r="N37" s="19"/>
      <c r="O37" s="19"/>
      <c r="P37" s="72"/>
      <c r="Q37" s="23"/>
      <c r="R37" s="19"/>
      <c r="S37" s="19"/>
      <c r="T37" s="20"/>
      <c r="U37" s="79"/>
      <c r="V37" s="19"/>
      <c r="W37" s="19"/>
      <c r="X37" s="19"/>
      <c r="Y37" s="20"/>
    </row>
    <row r="38" spans="1:25" ht="12.75" customHeight="1" x14ac:dyDescent="0.45">
      <c r="A38" s="9"/>
      <c r="B38" s="13" t="s">
        <v>31</v>
      </c>
      <c r="C38" s="60"/>
      <c r="D38" s="12"/>
      <c r="E38" s="10"/>
      <c r="F38" s="10"/>
      <c r="G38" s="11"/>
      <c r="H38" s="23"/>
      <c r="I38" s="19"/>
      <c r="J38" s="19"/>
      <c r="K38" s="19"/>
      <c r="L38" s="72"/>
      <c r="M38" s="64"/>
      <c r="N38" s="19"/>
      <c r="O38" s="19"/>
      <c r="P38" s="72"/>
      <c r="Q38" s="23"/>
      <c r="R38" s="19"/>
      <c r="S38" s="19"/>
      <c r="T38" s="20"/>
      <c r="U38" s="79"/>
      <c r="V38" s="19"/>
      <c r="W38" s="19"/>
      <c r="X38" s="19"/>
      <c r="Y38" s="20"/>
    </row>
    <row r="39" spans="1:25" ht="12.75" customHeight="1" x14ac:dyDescent="0.45">
      <c r="A39" s="9"/>
      <c r="B39" s="13" t="s">
        <v>8</v>
      </c>
      <c r="C39" s="60"/>
      <c r="D39" s="12"/>
      <c r="E39" s="10"/>
      <c r="F39" s="10"/>
      <c r="G39" s="11"/>
      <c r="H39" s="23"/>
      <c r="I39" s="19"/>
      <c r="J39" s="19"/>
      <c r="K39" s="19"/>
      <c r="L39" s="72"/>
      <c r="M39" s="23"/>
      <c r="N39" s="65"/>
      <c r="O39" s="65"/>
      <c r="P39" s="76"/>
      <c r="Q39" s="23"/>
      <c r="R39" s="19"/>
      <c r="S39" s="19"/>
      <c r="T39" s="72"/>
      <c r="U39" s="79"/>
      <c r="V39" s="19"/>
      <c r="W39" s="19"/>
      <c r="X39" s="19"/>
      <c r="Y39" s="20"/>
    </row>
    <row r="40" spans="1:25" ht="12.75" customHeight="1" x14ac:dyDescent="0.45">
      <c r="A40" s="9"/>
      <c r="B40" s="13" t="s">
        <v>32</v>
      </c>
      <c r="C40" s="60"/>
      <c r="D40" s="12"/>
      <c r="E40" s="10"/>
      <c r="F40" s="10"/>
      <c r="G40" s="11"/>
      <c r="H40" s="23"/>
      <c r="I40" s="19"/>
      <c r="J40" s="19"/>
      <c r="K40" s="19"/>
      <c r="L40" s="72"/>
      <c r="M40" s="23"/>
      <c r="N40" s="65"/>
      <c r="O40" s="65"/>
      <c r="P40" s="76"/>
      <c r="Q40" s="23"/>
      <c r="R40" s="19"/>
      <c r="S40" s="19"/>
      <c r="T40" s="72"/>
      <c r="U40" s="79"/>
      <c r="V40" s="19"/>
      <c r="W40" s="19"/>
      <c r="X40" s="19"/>
      <c r="Y40" s="20"/>
    </row>
    <row r="41" spans="1:25" ht="13" customHeight="1" thickBot="1" x14ac:dyDescent="0.5">
      <c r="A41" s="14"/>
      <c r="B41" s="15" t="s">
        <v>33</v>
      </c>
      <c r="C41" s="61"/>
      <c r="D41" s="16"/>
      <c r="E41" s="17"/>
      <c r="F41" s="17"/>
      <c r="G41" s="18"/>
      <c r="H41" s="16"/>
      <c r="I41" s="17"/>
      <c r="J41" s="17"/>
      <c r="K41" s="17"/>
      <c r="L41" s="70"/>
      <c r="M41" s="16"/>
      <c r="N41" s="17"/>
      <c r="O41" s="21"/>
      <c r="P41" s="73"/>
      <c r="Q41" s="98"/>
      <c r="R41" s="21"/>
      <c r="S41" s="21"/>
      <c r="T41" s="22"/>
      <c r="U41" s="104"/>
      <c r="V41" s="84"/>
      <c r="W41" s="84"/>
      <c r="X41" s="84"/>
      <c r="Y41" s="85"/>
    </row>
    <row r="42" spans="1:25" ht="13" customHeight="1" x14ac:dyDescent="0.45">
      <c r="A42" s="41" t="s">
        <v>10</v>
      </c>
      <c r="B42" s="42"/>
      <c r="C42" s="42"/>
      <c r="D42" s="26"/>
      <c r="E42" s="27"/>
      <c r="F42" s="27"/>
      <c r="G42" s="25"/>
      <c r="H42" s="26"/>
      <c r="I42" s="27"/>
      <c r="J42" s="27"/>
      <c r="K42" s="27"/>
      <c r="L42" s="74"/>
      <c r="M42" s="26"/>
      <c r="N42" s="27"/>
      <c r="O42" s="24"/>
      <c r="P42" s="75"/>
      <c r="Q42" s="66"/>
      <c r="R42" s="91"/>
      <c r="S42" s="91"/>
      <c r="T42" s="111"/>
      <c r="U42" s="105"/>
      <c r="V42" s="31"/>
      <c r="W42" s="31"/>
      <c r="X42" s="31"/>
      <c r="Y42" s="32"/>
    </row>
    <row r="43" spans="1:25" ht="13" customHeight="1" x14ac:dyDescent="0.45">
      <c r="A43" s="9"/>
      <c r="B43" s="13" t="s">
        <v>11</v>
      </c>
      <c r="C43" s="60"/>
      <c r="D43" s="12"/>
      <c r="E43" s="10"/>
      <c r="F43" s="10"/>
      <c r="G43" s="11"/>
      <c r="H43" s="12"/>
      <c r="I43" s="10"/>
      <c r="J43" s="10"/>
      <c r="K43" s="10"/>
      <c r="L43" s="69"/>
      <c r="M43" s="12"/>
      <c r="N43" s="10"/>
      <c r="O43" s="19"/>
      <c r="P43" s="72"/>
      <c r="Q43" s="23"/>
      <c r="R43" s="65"/>
      <c r="S43" s="19"/>
      <c r="T43" s="20"/>
      <c r="U43" s="79"/>
      <c r="V43" s="19"/>
      <c r="W43" s="19"/>
      <c r="X43" s="19"/>
      <c r="Y43" s="20"/>
    </row>
    <row r="44" spans="1:25" ht="13" customHeight="1" x14ac:dyDescent="0.45">
      <c r="A44" s="9"/>
      <c r="B44" s="13" t="s">
        <v>12</v>
      </c>
      <c r="C44" s="60"/>
      <c r="D44" s="12"/>
      <c r="E44" s="10"/>
      <c r="F44" s="10"/>
      <c r="G44" s="11"/>
      <c r="H44" s="12"/>
      <c r="I44" s="10"/>
      <c r="J44" s="10"/>
      <c r="K44" s="10"/>
      <c r="L44" s="69"/>
      <c r="M44" s="12"/>
      <c r="N44" s="10"/>
      <c r="O44" s="19"/>
      <c r="P44" s="72"/>
      <c r="Q44" s="23"/>
      <c r="R44" s="65"/>
      <c r="S44" s="65"/>
      <c r="T44" s="93"/>
      <c r="U44" s="79"/>
      <c r="V44" s="19"/>
      <c r="W44" s="19"/>
      <c r="X44" s="19"/>
      <c r="Y44" s="20"/>
    </row>
    <row r="45" spans="1:25" ht="13" customHeight="1" x14ac:dyDescent="0.45">
      <c r="A45" s="9"/>
      <c r="B45" s="13" t="s">
        <v>9</v>
      </c>
      <c r="C45" s="60"/>
      <c r="D45" s="12"/>
      <c r="E45" s="10"/>
      <c r="F45" s="10"/>
      <c r="G45" s="11"/>
      <c r="H45" s="23"/>
      <c r="I45" s="19"/>
      <c r="J45" s="19"/>
      <c r="K45" s="19"/>
      <c r="L45" s="72"/>
      <c r="M45" s="23"/>
      <c r="N45" s="19"/>
      <c r="O45" s="19"/>
      <c r="P45" s="72"/>
      <c r="Q45" s="23"/>
      <c r="R45" s="19"/>
      <c r="S45" s="19"/>
      <c r="T45" s="93"/>
      <c r="U45" s="79"/>
      <c r="V45" s="19"/>
      <c r="W45" s="19"/>
      <c r="X45" s="19"/>
      <c r="Y45" s="20"/>
    </row>
    <row r="46" spans="1:25" ht="13" customHeight="1" x14ac:dyDescent="0.45">
      <c r="A46" s="9"/>
      <c r="B46" s="13" t="s">
        <v>13</v>
      </c>
      <c r="C46" s="60"/>
      <c r="D46" s="12"/>
      <c r="E46" s="10"/>
      <c r="F46" s="10"/>
      <c r="G46" s="11"/>
      <c r="H46" s="12"/>
      <c r="I46" s="10"/>
      <c r="J46" s="10"/>
      <c r="K46" s="10"/>
      <c r="L46" s="69"/>
      <c r="M46" s="12"/>
      <c r="N46" s="10"/>
      <c r="O46" s="10"/>
      <c r="P46" s="72"/>
      <c r="Q46" s="23"/>
      <c r="R46" s="19"/>
      <c r="S46" s="19"/>
      <c r="T46" s="93"/>
      <c r="U46" s="106"/>
      <c r="V46" s="19"/>
      <c r="W46" s="19"/>
      <c r="X46" s="19"/>
      <c r="Y46" s="20"/>
    </row>
    <row r="47" spans="1:25" ht="13" customHeight="1" thickBot="1" x14ac:dyDescent="0.5">
      <c r="A47" s="14"/>
      <c r="B47" s="15" t="s">
        <v>14</v>
      </c>
      <c r="C47" s="61"/>
      <c r="D47" s="16"/>
      <c r="E47" s="17"/>
      <c r="F47" s="17"/>
      <c r="G47" s="18"/>
      <c r="H47" s="16"/>
      <c r="I47" s="17"/>
      <c r="J47" s="17"/>
      <c r="K47" s="17"/>
      <c r="L47" s="70"/>
      <c r="M47" s="16"/>
      <c r="N47" s="17"/>
      <c r="O47" s="17"/>
      <c r="P47" s="73"/>
      <c r="Q47" s="37"/>
      <c r="R47" s="77"/>
      <c r="S47" s="77"/>
      <c r="T47" s="110"/>
      <c r="U47" s="107"/>
      <c r="V47" s="21"/>
      <c r="W47" s="21"/>
      <c r="X47" s="21"/>
      <c r="Y47" s="22"/>
    </row>
  </sheetData>
  <mergeCells count="9">
    <mergeCell ref="U4:Y4"/>
    <mergeCell ref="A4:C7"/>
    <mergeCell ref="A1:Y1"/>
    <mergeCell ref="A3:C3"/>
    <mergeCell ref="D3:E3"/>
    <mergeCell ref="H4:L4"/>
    <mergeCell ref="M4:P4"/>
    <mergeCell ref="D4:G4"/>
    <mergeCell ref="Q4:T4"/>
  </mergeCells>
  <phoneticPr fontId="5" type="noConversion"/>
  <printOptions horizontalCentered="1"/>
  <pageMargins left="0.11811023622047245" right="0.11811023622047245" top="0.35433070866141736" bottom="0.35433070866141736" header="0.11811023622047245" footer="0.11811023622047245"/>
  <pageSetup paperSize="9" scale="4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현대종합상사 그룹웨어 업그레이드_WBS</dc:title>
  <dc:creator/>
  <cp:lastModifiedBy/>
  <dcterms:created xsi:type="dcterms:W3CDTF">2015-06-05T18:19:34Z</dcterms:created>
  <dcterms:modified xsi:type="dcterms:W3CDTF">2026-03-18T06:53:15Z</dcterms:modified>
</cp:coreProperties>
</file>